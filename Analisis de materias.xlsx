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redanahuac-my.sharepoint.com/personal/jesus_ramosb_anahuac_mx/Documents/Escritorio/Dashboard materias/Gemini/"/>
    </mc:Choice>
  </mc:AlternateContent>
  <xr:revisionPtr revIDLastSave="40" documentId="8_{AEC493ED-2EAA-4A63-B3CF-5A8E4EB94C56}" xr6:coauthVersionLast="47" xr6:coauthVersionMax="47" xr10:uidLastSave="{696B188E-57C2-44BB-B137-A88CF40F5277}"/>
  <bookViews>
    <workbookView xWindow="-20520" yWindow="1155" windowWidth="20640" windowHeight="11040" xr2:uid="{00000000-000D-0000-FFFF-FFFF00000000}"/>
  </bookViews>
  <sheets>
    <sheet name="Hoja1" sheetId="1" r:id="rId1"/>
  </sheets>
  <definedNames>
    <definedName name="_xlnm._FilterDatabase" localSheetId="0" hidden="1">Hoja1!$A$1:$AA$85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85" i="1" l="1"/>
  <c r="R85" i="1"/>
  <c r="S85" i="1"/>
  <c r="T85" i="1"/>
  <c r="U85" i="1"/>
  <c r="V85" i="1"/>
  <c r="W85" i="1"/>
  <c r="X85" i="1"/>
  <c r="Y85" i="1"/>
  <c r="Z85" i="1"/>
  <c r="AA85" i="1"/>
  <c r="P85" i="1"/>
</calcChain>
</file>

<file path=xl/sharedStrings.xml><?xml version="1.0" encoding="utf-8"?>
<sst xmlns="http://schemas.openxmlformats.org/spreadsheetml/2006/main" count="752" uniqueCount="251">
  <si>
    <t>Curso</t>
  </si>
  <si>
    <t>Materia</t>
  </si>
  <si>
    <t>Créditos</t>
  </si>
  <si>
    <t>Total_Alumnos_Plan_Ideal</t>
  </si>
  <si>
    <t>Alumnos_Cursaron</t>
  </si>
  <si>
    <t>Faltan_por_Cursar</t>
  </si>
  <si>
    <t>Porcentaje_Cursado</t>
  </si>
  <si>
    <t>área de conocimiento</t>
  </si>
  <si>
    <t>Coordinador</t>
  </si>
  <si>
    <t>Aperturas al año</t>
  </si>
  <si>
    <t>prioridad ficha</t>
  </si>
  <si>
    <t>Confirmación de coordinador</t>
  </si>
  <si>
    <t>Observaciones Coordinador</t>
  </si>
  <si>
    <t>Recomendación</t>
  </si>
  <si>
    <t>Cupos</t>
  </si>
  <si>
    <t>Primavera 2026</t>
  </si>
  <si>
    <t>Verano 2026</t>
  </si>
  <si>
    <t>Otoño 2026</t>
  </si>
  <si>
    <t>Primavera 2027</t>
  </si>
  <si>
    <t>Verano 2027</t>
  </si>
  <si>
    <t>Otoño 2027</t>
  </si>
  <si>
    <t>Primavera 2028</t>
  </si>
  <si>
    <t>Verano 2028</t>
  </si>
  <si>
    <t>Otoño 2028</t>
  </si>
  <si>
    <t>Primavera 2029</t>
  </si>
  <si>
    <t>Verano 2029</t>
  </si>
  <si>
    <t>Otoño 2029</t>
  </si>
  <si>
    <t>LDR55703</t>
  </si>
  <si>
    <t>LDR55703 - Liderazgo de Acción Positiva</t>
  </si>
  <si>
    <t>Dirección y Liderazgo</t>
  </si>
  <si>
    <t>Mtra. Ana Yely</t>
  </si>
  <si>
    <t>A demanda</t>
  </si>
  <si>
    <t>X</t>
  </si>
  <si>
    <t>ADM55705</t>
  </si>
  <si>
    <t>ADM55705 - Administración de riesgos de negocio</t>
  </si>
  <si>
    <t>Análisis e inteligencia de negocios</t>
  </si>
  <si>
    <t>Mtro. Armando</t>
  </si>
  <si>
    <t>Si</t>
  </si>
  <si>
    <t>ADM55707</t>
  </si>
  <si>
    <t>ADM55707 - Sistemas estratégicos de dirección y evaluación de desempeño</t>
  </si>
  <si>
    <t>MAT55703</t>
  </si>
  <si>
    <t>MAT55703 - Herramientas de análisis de decisiones</t>
  </si>
  <si>
    <t xml:space="preserve">Toma de decisiones </t>
  </si>
  <si>
    <t>Mtro. Juan Manuel</t>
  </si>
  <si>
    <t>Es obligatoria para Talento</t>
  </si>
  <si>
    <t>MAT55707</t>
  </si>
  <si>
    <t>MAT55707 - Modelos y herramientas de Analítica de datos aplicada a los negocios</t>
  </si>
  <si>
    <t>si</t>
  </si>
  <si>
    <t>Es obligatoria Fin. Se recomienda 1 vez al año, forma parte de la ruta de capacitación para Power Bi</t>
  </si>
  <si>
    <t>1 vez al año</t>
  </si>
  <si>
    <t>LDR55705</t>
  </si>
  <si>
    <t>LDR55705 - Negociación estratégica</t>
  </si>
  <si>
    <t>Por Transversalidad</t>
  </si>
  <si>
    <t>Se recomienda 2 veces al año</t>
  </si>
  <si>
    <t>ITI55701</t>
  </si>
  <si>
    <t>ITI55701 - Inteligencia Artificial</t>
  </si>
  <si>
    <t>Ciencia de datos e inteligencia Artificial</t>
  </si>
  <si>
    <t>Dr. (c) Jesús</t>
  </si>
  <si>
    <t>Se recomienda 1 vez al año, si la tendencia de crecimiento continua posiblemente aumentar a 2 veces por año, es una materia ofertada a los 10 programas y cuenta con un gran índice de transversalidad</t>
  </si>
  <si>
    <t>LDR55702</t>
  </si>
  <si>
    <t>LDR55702 - Habilidades gerenciales</t>
  </si>
  <si>
    <t>FIN55703</t>
  </si>
  <si>
    <t>FIN55703 - Finanzas corporativas y planeación financiera</t>
  </si>
  <si>
    <t>Economía y finanzas</t>
  </si>
  <si>
    <t>Llama la atención a los alumnos, alumnos de otros programas la incluyen.</t>
  </si>
  <si>
    <t>ITI55700</t>
  </si>
  <si>
    <t>ITI55700 - Ciencia de Datos</t>
  </si>
  <si>
    <t>Se recomienda 2 veces al año para poder ser la materia de inicio en el programa de Big data e inteligencia artificial</t>
  </si>
  <si>
    <t>2 veces al año</t>
  </si>
  <si>
    <t>LDR55700</t>
  </si>
  <si>
    <t>LDR55700 - Competencias de liderazgo para la gestión de equipos de alto desempeño</t>
  </si>
  <si>
    <t>ADM55706</t>
  </si>
  <si>
    <t>ADM55706 - Herramientas de Inteligencia de Negocios</t>
  </si>
  <si>
    <t>Se recomienda 1 vez al año, forma parte de la ruta de capacitación para Power Bi</t>
  </si>
  <si>
    <t>COM55702</t>
  </si>
  <si>
    <t>COM55702 - Gestión estratégica de la comunicación</t>
  </si>
  <si>
    <t>Comunicación</t>
  </si>
  <si>
    <t>Es obligatoria para Merca</t>
  </si>
  <si>
    <t>1 vez casa año y medio (.75)</t>
  </si>
  <si>
    <t>ITI55704</t>
  </si>
  <si>
    <t>ITI55704 - Minería de datos</t>
  </si>
  <si>
    <t>Una vez al año, tal como se muestra en números</t>
  </si>
  <si>
    <t>INV55700</t>
  </si>
  <si>
    <t>INV55700 - Proyecto integrador</t>
  </si>
  <si>
    <t>Seminarios y Tesis</t>
  </si>
  <si>
    <t>Es materia terminal, se propone en cada periodo para brindar opción de titulación</t>
  </si>
  <si>
    <t>LDR55701</t>
  </si>
  <si>
    <t>LDR55701 - Gestión de empresas familiares y PYMES</t>
  </si>
  <si>
    <t>MAT55706</t>
  </si>
  <si>
    <t>MAT55706 - Modelo y visualización de datos</t>
  </si>
  <si>
    <t>MER55700</t>
  </si>
  <si>
    <t>MER55700 - Análisis de mercado y toma de decisiones</t>
  </si>
  <si>
    <t xml:space="preserve">Mercadotécnia </t>
  </si>
  <si>
    <t>MER55702</t>
  </si>
  <si>
    <t>MER55702 - Estrategias de mercadotecnia</t>
  </si>
  <si>
    <t>ITI55703</t>
  </si>
  <si>
    <t>ITI55703 - Machine learning</t>
  </si>
  <si>
    <t>Cada dos años es adecuado, es una materia muy especializada</t>
  </si>
  <si>
    <t>cada 2 años</t>
  </si>
  <si>
    <t>FIN55704</t>
  </si>
  <si>
    <t>FIN55704 - Fundamentos analíticos para finanzas</t>
  </si>
  <si>
    <t>Es obligatoria para Finanzas</t>
  </si>
  <si>
    <t>PSI55704</t>
  </si>
  <si>
    <t>PSI55704 - Gestión integral del talento</t>
  </si>
  <si>
    <t>Talento humano y organizacional</t>
  </si>
  <si>
    <t>LDR55704</t>
  </si>
  <si>
    <t>LDR55704 - Marco global de la dirección</t>
  </si>
  <si>
    <t>FIN55701</t>
  </si>
  <si>
    <t>FIN55701 - Empresas, clústeres, desarrollo económico y social</t>
  </si>
  <si>
    <t>Se recomienda que sea una materia que lleven 2 cooridnadores (Mtro. Juan Manuelnuel y Mtro. Armandoo)</t>
  </si>
  <si>
    <t>MER55705</t>
  </si>
  <si>
    <t>MER55705 - Neuromarketing</t>
  </si>
  <si>
    <t>Por demanda</t>
  </si>
  <si>
    <t>PSI55702</t>
  </si>
  <si>
    <t>PSI55702 - Consultoría y desarrollo organizacional</t>
  </si>
  <si>
    <t>SLD55704</t>
  </si>
  <si>
    <t>Fundamentos y hospitalidad en la salud</t>
  </si>
  <si>
    <t>No</t>
  </si>
  <si>
    <t>No es área de conocimiento, cuesta mucho trabajo encontrar docentes por no tener contactos</t>
  </si>
  <si>
    <t>IIND55706</t>
  </si>
  <si>
    <t>IIND55706 - Dirección de operaciones en empresas</t>
  </si>
  <si>
    <t>Ingeniería y operaciones</t>
  </si>
  <si>
    <t>Se recomienda 1 vez al año por ser materia obligatoria del programa de Ingeniería para la dirección de operaciones</t>
  </si>
  <si>
    <t>SLD55701</t>
  </si>
  <si>
    <t>SLD55701 - Bioética</t>
  </si>
  <si>
    <t>FIN55705</t>
  </si>
  <si>
    <t>FIN55705 - Portafolios de inversión</t>
  </si>
  <si>
    <t>Transversalidad, forman parte de certificación AMIB</t>
  </si>
  <si>
    <t>SLD55703</t>
  </si>
  <si>
    <t xml:space="preserve">SLD55703 - Dirección de los negocios hospitalarios </t>
  </si>
  <si>
    <t>MER55701</t>
  </si>
  <si>
    <t>MER55701 - Comercio electrónico y estrategias de mercadotecnia digital</t>
  </si>
  <si>
    <t>Es parte de la certificación de EDX</t>
  </si>
  <si>
    <t>MER55703</t>
  </si>
  <si>
    <t>MER55703 - Innovación y creatividad aplicada a la mercadotecnia y a la comunicación</t>
  </si>
  <si>
    <t>FIN55702</t>
  </si>
  <si>
    <t>FIN55702 - Finanzas bursátiles y digitales</t>
  </si>
  <si>
    <t>COM55704</t>
  </si>
  <si>
    <t>COM55704 - Planeación de campañas de comunicación</t>
  </si>
  <si>
    <t>ITI55706</t>
  </si>
  <si>
    <t>ITI55706 - Blockchain</t>
  </si>
  <si>
    <t>1 vez al año, puede ser en verano</t>
  </si>
  <si>
    <t>COM55700</t>
  </si>
  <si>
    <t>COM55700 - Comunicación de crisis</t>
  </si>
  <si>
    <t>SLD55700</t>
  </si>
  <si>
    <t>SLD55700 - Administración de centros de investigacion Intrahospitalarios</t>
  </si>
  <si>
    <t>DER55703</t>
  </si>
  <si>
    <t>DER55703 - Gobierno corporativo y responsabilidad social</t>
  </si>
  <si>
    <t>Derecho Empresarial</t>
  </si>
  <si>
    <t>Dra. Karenm</t>
  </si>
  <si>
    <t>Es obligatoria Der.</t>
  </si>
  <si>
    <t>Apertura 1 vez al año</t>
  </si>
  <si>
    <t>IIND55707</t>
  </si>
  <si>
    <t>IIND55707 - Lean Management</t>
  </si>
  <si>
    <t>PSI55701</t>
  </si>
  <si>
    <t>PSI55701 - Comportamiento organizacional</t>
  </si>
  <si>
    <t>PSI55700</t>
  </si>
  <si>
    <t>PSI55700 - Compensación y evaluación del talento</t>
  </si>
  <si>
    <t>Es parte de la capacitación para la certificación de HRCI</t>
  </si>
  <si>
    <t>PSI55703</t>
  </si>
  <si>
    <t>PSI55703 - Dirección de talento por competencias</t>
  </si>
  <si>
    <t>SLD55702</t>
  </si>
  <si>
    <t>SLD55702 - Calidad en los servicios de salud</t>
  </si>
  <si>
    <t>MAT55700</t>
  </si>
  <si>
    <t>MAT55700 - Análisis de datos multivariante</t>
  </si>
  <si>
    <t>1 vez cada 2 años</t>
  </si>
  <si>
    <t>EMP55700</t>
  </si>
  <si>
    <t>EMP55700 - Administración de proyectos</t>
  </si>
  <si>
    <t>Innovación tecnológica y emprendimiento</t>
  </si>
  <si>
    <t>Revisar números para cambiar a 2 veces al año</t>
  </si>
  <si>
    <t>INV55701</t>
  </si>
  <si>
    <t>INV55701 - Tesis de maestría</t>
  </si>
  <si>
    <t>MAT55704</t>
  </si>
  <si>
    <t>MAT55704 - Investigación de operaciones, eficiencia y productividad</t>
  </si>
  <si>
    <t>COM55701</t>
  </si>
  <si>
    <t>COM55701 - Comunicación digital</t>
  </si>
  <si>
    <t>EMP55701</t>
  </si>
  <si>
    <t>EMP55701 - Design Thinking</t>
  </si>
  <si>
    <t>DER55705</t>
  </si>
  <si>
    <t>DER55705 - Resolución de conflictos empresariales</t>
  </si>
  <si>
    <t>IIND55703</t>
  </si>
  <si>
    <t>IIND55703 - Sistemas de gestión empresarial</t>
  </si>
  <si>
    <t>PSI55705</t>
  </si>
  <si>
    <t>PSI55705 - Salud laboral</t>
  </si>
  <si>
    <t>MER55704</t>
  </si>
  <si>
    <t>MER55704 - Inteligencia y perspectiva estratégica del consumidor</t>
  </si>
  <si>
    <t>EMP55702</t>
  </si>
  <si>
    <t>EMP55702 - Emprendimiento de negocios</t>
  </si>
  <si>
    <t>DER55702</t>
  </si>
  <si>
    <t>DER55702 - Derecho fiscal internacional</t>
  </si>
  <si>
    <t>DER55704</t>
  </si>
  <si>
    <t>DER55704 - Marco jurídico de las Pymes</t>
  </si>
  <si>
    <t>IIND55705</t>
  </si>
  <si>
    <t>IIND55705 - Six sigma</t>
  </si>
  <si>
    <t>POL55701</t>
  </si>
  <si>
    <t>POL55701 - Gestión Gubernamental, Buen Gobierno y Mejores Prácticas</t>
  </si>
  <si>
    <t>Administración y Gestión Pública</t>
  </si>
  <si>
    <t>POL55704</t>
  </si>
  <si>
    <t>POL55704 - Teoría de la Administración Pública y los Actos Administrativos</t>
  </si>
  <si>
    <t>Es obligatoria Adm.</t>
  </si>
  <si>
    <t>ITI55702</t>
  </si>
  <si>
    <t>ITI55702 - Internet de las cosas</t>
  </si>
  <si>
    <t>DER55700</t>
  </si>
  <si>
    <t>DER55700 - Compliance corporativo</t>
  </si>
  <si>
    <t>POL55705</t>
  </si>
  <si>
    <t>POL55705 - Gobernanza y políticas públicas</t>
  </si>
  <si>
    <t>IIND55702</t>
  </si>
  <si>
    <t>IIND55702 - Logística y cadena de suministros</t>
  </si>
  <si>
    <t>CUL55701</t>
  </si>
  <si>
    <t>CUL55701 - Temas selectos multidisciplinarios</t>
  </si>
  <si>
    <t>EMP55703</t>
  </si>
  <si>
    <t>EMP55703 - Mindset digital</t>
  </si>
  <si>
    <t>COM55705</t>
  </si>
  <si>
    <t>COM55705 - Responsabilidad social organizacional y comunicación</t>
  </si>
  <si>
    <t>ITI55705</t>
  </si>
  <si>
    <t>ITI55705 - Realidad virtual y aumentada</t>
  </si>
  <si>
    <t>1 vez cada 2 años. Revisar contenido, se requiere software más especializado, depende del equipo de cada persona</t>
  </si>
  <si>
    <t>FIN55700</t>
  </si>
  <si>
    <t>FIN55700 - Economía y finanzas internacionales</t>
  </si>
  <si>
    <t>MAT55708</t>
  </si>
  <si>
    <t xml:space="preserve">MAT55708 - Estadística Avanzada </t>
  </si>
  <si>
    <t>MAT55702</t>
  </si>
  <si>
    <t>MAT55702 - Estadística descriptiva e inferencial</t>
  </si>
  <si>
    <t>POL55702</t>
  </si>
  <si>
    <t>POL55702 - Presupuesto y Finanzas Públicas</t>
  </si>
  <si>
    <t>CUL55700</t>
  </si>
  <si>
    <t>CUL55700 - Temas multidisciplinarios de vanguardia</t>
  </si>
  <si>
    <t>POL55703</t>
  </si>
  <si>
    <t>POL55703 - Sistema de Responsabilidades Administrativas</t>
  </si>
  <si>
    <t>DER55701</t>
  </si>
  <si>
    <t>DER55701 - Concursos mercantiles</t>
  </si>
  <si>
    <t>MAT55701</t>
  </si>
  <si>
    <t>MAT55701 - Econometría aplicada a los negocios</t>
  </si>
  <si>
    <t>MAT55705</t>
  </si>
  <si>
    <t>MAT55705 - Modelación empresarial</t>
  </si>
  <si>
    <t>ADM55701</t>
  </si>
  <si>
    <t>ADM55701 - Planeación Estratégica de las organizaciones</t>
  </si>
  <si>
    <t>Planeación y estratégia</t>
  </si>
  <si>
    <t>ADM55702</t>
  </si>
  <si>
    <t>ADM55702 - Simulación de negocios</t>
  </si>
  <si>
    <t>MER55706</t>
  </si>
  <si>
    <t>MER55706 - Mercadotecnia social</t>
  </si>
  <si>
    <t>Considerar cerrar</t>
  </si>
  <si>
    <t>ADM55703</t>
  </si>
  <si>
    <t>ADM55703 - Tópicos selectos de estrategia y dirección</t>
  </si>
  <si>
    <t>Cambiar nombre, podría tener más empuje con los alumnos</t>
  </si>
  <si>
    <t>ADM55700</t>
  </si>
  <si>
    <t>ADM55700 - Cultura de calidad empresarial</t>
  </si>
  <si>
    <t>ADM55704</t>
  </si>
  <si>
    <t>ADM55704 - Visión estratégica de la tecnología</t>
  </si>
  <si>
    <t>SLD55704 - Internacionalización y Sustentabilidad de Organizaciones de la Salud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</si>
</sst>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5"/>
  <sheetViews>
    <sheetView tabSelected="1" topLeftCell="P1" zoomScale="70" zoomScaleNormal="70" workbookViewId="0">
      <pane ySplit="1" topLeftCell="A44" activePane="bottomLeft" state="frozen"/>
      <selection activeCell="C1" sqref="C1"/>
      <selection pane="bottomLeft" activeCell="AB45" sqref="AB45"/>
    </sheetView>
  </sheetViews>
  <sheetFormatPr baseColWidth="10" defaultColWidth="8.7265625" defaultRowHeight="14.5" x14ac:dyDescent="0.35"/>
  <cols>
    <col min="1" max="1" width="16" hidden="1" customWidth="1"/>
    <col min="2" max="2" width="54.81640625" customWidth="1"/>
    <col min="3" max="5" width="8.7265625" hidden="1" customWidth="1"/>
    <col min="6" max="6" width="10.54296875" hidden="1" customWidth="1"/>
    <col min="7" max="7" width="23.6328125" hidden="1" customWidth="1"/>
    <col min="8" max="8" width="29.26953125" customWidth="1"/>
    <col min="9" max="9" width="17.36328125" bestFit="1" customWidth="1"/>
    <col min="10" max="10" width="17.81640625" hidden="1" customWidth="1"/>
    <col min="11" max="11" width="16.1796875" hidden="1" customWidth="1"/>
    <col min="12" max="12" width="29.1796875" hidden="1" customWidth="1"/>
    <col min="13" max="13" width="60.54296875" style="3" customWidth="1"/>
    <col min="14" max="14" width="25.26953125" bestFit="1" customWidth="1"/>
    <col min="15" max="15" width="12.26953125" bestFit="1" customWidth="1"/>
    <col min="16" max="16" width="16.26953125" customWidth="1"/>
    <col min="17" max="17" width="19.26953125" customWidth="1"/>
    <col min="18" max="18" width="17.26953125" customWidth="1"/>
    <col min="19" max="19" width="20.1796875" customWidth="1"/>
    <col min="20" max="20" width="20.7265625" customWidth="1"/>
    <col min="21" max="21" width="21.7265625" customWidth="1"/>
    <col min="22" max="22" width="19.54296875" customWidth="1"/>
    <col min="23" max="23" width="19" customWidth="1"/>
    <col min="24" max="24" width="22.26953125" customWidth="1"/>
    <col min="25" max="25" width="21.54296875" customWidth="1"/>
    <col min="26" max="26" width="18.453125" customWidth="1"/>
    <col min="27" max="27" width="20" customWidth="1"/>
  </cols>
  <sheetData>
    <row r="1" spans="1:2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5">
      <c r="A2" t="s">
        <v>194</v>
      </c>
      <c r="B2" t="s">
        <v>195</v>
      </c>
      <c r="C2">
        <v>6</v>
      </c>
      <c r="D2">
        <v>20</v>
      </c>
      <c r="E2">
        <v>0</v>
      </c>
      <c r="F2">
        <v>20</v>
      </c>
      <c r="G2">
        <v>0</v>
      </c>
      <c r="H2" t="s">
        <v>196</v>
      </c>
      <c r="I2" t="s">
        <v>149</v>
      </c>
      <c r="J2">
        <v>0.5</v>
      </c>
      <c r="L2" t="s">
        <v>37</v>
      </c>
      <c r="O2">
        <v>25</v>
      </c>
      <c r="Q2" t="s">
        <v>32</v>
      </c>
      <c r="S2" t="s">
        <v>32</v>
      </c>
      <c r="Y2" t="s">
        <v>32</v>
      </c>
    </row>
    <row r="3" spans="1:27" x14ac:dyDescent="0.35">
      <c r="A3" t="s">
        <v>197</v>
      </c>
      <c r="B3" t="s">
        <v>198</v>
      </c>
      <c r="C3">
        <v>7</v>
      </c>
      <c r="D3">
        <v>20</v>
      </c>
      <c r="E3">
        <v>21</v>
      </c>
      <c r="F3">
        <v>-1</v>
      </c>
      <c r="G3">
        <v>105</v>
      </c>
      <c r="H3" t="s">
        <v>196</v>
      </c>
      <c r="I3" t="s">
        <v>149</v>
      </c>
      <c r="J3">
        <v>0.5</v>
      </c>
      <c r="L3" t="s">
        <v>37</v>
      </c>
      <c r="M3" s="3" t="s">
        <v>199</v>
      </c>
      <c r="N3" t="s">
        <v>151</v>
      </c>
      <c r="O3">
        <v>25</v>
      </c>
      <c r="P3" t="s">
        <v>32</v>
      </c>
      <c r="S3" t="s">
        <v>32</v>
      </c>
      <c r="V3" t="s">
        <v>32</v>
      </c>
      <c r="Y3" t="s">
        <v>32</v>
      </c>
    </row>
    <row r="4" spans="1:27" x14ac:dyDescent="0.35">
      <c r="A4" t="s">
        <v>204</v>
      </c>
      <c r="B4" t="s">
        <v>205</v>
      </c>
      <c r="C4">
        <v>7</v>
      </c>
      <c r="D4">
        <v>18</v>
      </c>
      <c r="E4">
        <v>16</v>
      </c>
      <c r="F4">
        <v>2</v>
      </c>
      <c r="G4">
        <v>88.888888890000004</v>
      </c>
      <c r="H4" t="s">
        <v>196</v>
      </c>
      <c r="I4" t="s">
        <v>149</v>
      </c>
      <c r="J4">
        <v>0.5</v>
      </c>
      <c r="L4" t="s">
        <v>37</v>
      </c>
      <c r="M4" s="3" t="s">
        <v>199</v>
      </c>
      <c r="N4" t="s">
        <v>151</v>
      </c>
      <c r="O4">
        <v>25</v>
      </c>
      <c r="R4" t="s">
        <v>32</v>
      </c>
      <c r="U4" t="s">
        <v>32</v>
      </c>
      <c r="X4" t="s">
        <v>32</v>
      </c>
      <c r="AA4" t="s">
        <v>32</v>
      </c>
    </row>
    <row r="5" spans="1:27" x14ac:dyDescent="0.35">
      <c r="A5" t="s">
        <v>223</v>
      </c>
      <c r="B5" t="s">
        <v>224</v>
      </c>
      <c r="C5">
        <v>6</v>
      </c>
      <c r="D5">
        <v>12</v>
      </c>
      <c r="E5">
        <v>0</v>
      </c>
      <c r="F5">
        <v>12</v>
      </c>
      <c r="G5">
        <v>0</v>
      </c>
      <c r="H5" t="s">
        <v>196</v>
      </c>
      <c r="I5" t="s">
        <v>149</v>
      </c>
      <c r="J5">
        <v>0.5</v>
      </c>
      <c r="L5" t="s">
        <v>37</v>
      </c>
      <c r="O5">
        <v>25</v>
      </c>
      <c r="R5" t="s">
        <v>32</v>
      </c>
      <c r="X5" t="s">
        <v>32</v>
      </c>
    </row>
    <row r="6" spans="1:27" x14ac:dyDescent="0.35">
      <c r="A6" t="s">
        <v>227</v>
      </c>
      <c r="B6" t="s">
        <v>228</v>
      </c>
      <c r="C6">
        <v>6</v>
      </c>
      <c r="D6">
        <v>10</v>
      </c>
      <c r="E6">
        <v>0</v>
      </c>
      <c r="F6">
        <v>10</v>
      </c>
      <c r="G6">
        <v>0</v>
      </c>
      <c r="H6" t="s">
        <v>196</v>
      </c>
      <c r="I6" t="s">
        <v>149</v>
      </c>
      <c r="J6">
        <v>0.5</v>
      </c>
      <c r="L6" t="s">
        <v>37</v>
      </c>
      <c r="O6">
        <v>25</v>
      </c>
      <c r="S6" t="s">
        <v>32</v>
      </c>
      <c r="Y6" t="s">
        <v>32</v>
      </c>
    </row>
    <row r="7" spans="1:27" x14ac:dyDescent="0.35">
      <c r="A7" t="s">
        <v>33</v>
      </c>
      <c r="B7" t="s">
        <v>34</v>
      </c>
      <c r="C7">
        <v>6</v>
      </c>
      <c r="D7">
        <v>49</v>
      </c>
      <c r="E7">
        <v>18</v>
      </c>
      <c r="F7">
        <v>31</v>
      </c>
      <c r="G7">
        <v>40</v>
      </c>
      <c r="H7" t="s">
        <v>35</v>
      </c>
      <c r="I7" t="s">
        <v>36</v>
      </c>
      <c r="J7">
        <v>0.5</v>
      </c>
      <c r="L7" t="s">
        <v>37</v>
      </c>
      <c r="O7">
        <v>25</v>
      </c>
      <c r="Q7" t="s">
        <v>32</v>
      </c>
      <c r="W7" t="s">
        <v>32</v>
      </c>
    </row>
    <row r="8" spans="1:27" x14ac:dyDescent="0.35">
      <c r="A8" t="s">
        <v>38</v>
      </c>
      <c r="B8" t="s">
        <v>39</v>
      </c>
      <c r="C8">
        <v>6</v>
      </c>
      <c r="D8">
        <v>29</v>
      </c>
      <c r="E8">
        <v>22</v>
      </c>
      <c r="F8">
        <v>7</v>
      </c>
      <c r="G8">
        <v>73.333333330000002</v>
      </c>
      <c r="H8" t="s">
        <v>35</v>
      </c>
      <c r="I8" t="s">
        <v>36</v>
      </c>
      <c r="J8">
        <v>0.5</v>
      </c>
      <c r="L8" t="s">
        <v>37</v>
      </c>
      <c r="O8">
        <v>25</v>
      </c>
      <c r="P8" t="s">
        <v>32</v>
      </c>
      <c r="V8" t="s">
        <v>32</v>
      </c>
    </row>
    <row r="9" spans="1:27" ht="29" x14ac:dyDescent="0.35">
      <c r="A9" t="s">
        <v>45</v>
      </c>
      <c r="B9" t="s">
        <v>46</v>
      </c>
      <c r="C9">
        <v>7</v>
      </c>
      <c r="D9">
        <v>119</v>
      </c>
      <c r="E9">
        <v>52</v>
      </c>
      <c r="F9">
        <v>67</v>
      </c>
      <c r="G9">
        <v>45.614035090000002</v>
      </c>
      <c r="H9" t="s">
        <v>35</v>
      </c>
      <c r="I9" t="s">
        <v>43</v>
      </c>
      <c r="J9">
        <v>1</v>
      </c>
      <c r="L9" t="s">
        <v>47</v>
      </c>
      <c r="M9" s="3" t="s">
        <v>48</v>
      </c>
      <c r="N9" t="s">
        <v>49</v>
      </c>
      <c r="O9">
        <v>30</v>
      </c>
      <c r="R9" t="s">
        <v>32</v>
      </c>
      <c r="U9" t="s">
        <v>32</v>
      </c>
      <c r="X9" t="s">
        <v>32</v>
      </c>
      <c r="AA9" t="s">
        <v>32</v>
      </c>
    </row>
    <row r="10" spans="1:27" ht="29" x14ac:dyDescent="0.35">
      <c r="A10" t="s">
        <v>71</v>
      </c>
      <c r="B10" t="s">
        <v>72</v>
      </c>
      <c r="C10">
        <v>6</v>
      </c>
      <c r="D10">
        <v>89</v>
      </c>
      <c r="E10">
        <v>29</v>
      </c>
      <c r="F10">
        <v>60</v>
      </c>
      <c r="G10">
        <v>33.72093023</v>
      </c>
      <c r="H10" t="s">
        <v>35</v>
      </c>
      <c r="I10" t="s">
        <v>57</v>
      </c>
      <c r="J10">
        <v>1</v>
      </c>
      <c r="L10" t="s">
        <v>47</v>
      </c>
      <c r="M10" s="3" t="s">
        <v>73</v>
      </c>
      <c r="N10" t="s">
        <v>49</v>
      </c>
      <c r="O10">
        <v>30</v>
      </c>
      <c r="Q10" t="s">
        <v>32</v>
      </c>
      <c r="T10" t="s">
        <v>32</v>
      </c>
      <c r="W10" t="s">
        <v>32</v>
      </c>
      <c r="Z10" t="s">
        <v>32</v>
      </c>
    </row>
    <row r="11" spans="1:27" ht="29" x14ac:dyDescent="0.35">
      <c r="A11" t="s">
        <v>88</v>
      </c>
      <c r="B11" t="s">
        <v>89</v>
      </c>
      <c r="C11">
        <v>6</v>
      </c>
      <c r="D11">
        <v>74</v>
      </c>
      <c r="E11">
        <v>28</v>
      </c>
      <c r="F11">
        <v>46</v>
      </c>
      <c r="G11">
        <v>38.356164380000003</v>
      </c>
      <c r="H11" t="s">
        <v>35</v>
      </c>
      <c r="I11" t="s">
        <v>57</v>
      </c>
      <c r="J11">
        <v>1</v>
      </c>
      <c r="L11" t="s">
        <v>47</v>
      </c>
      <c r="M11" s="3" t="s">
        <v>73</v>
      </c>
      <c r="N11" t="s">
        <v>49</v>
      </c>
      <c r="O11">
        <v>30</v>
      </c>
      <c r="P11" t="s">
        <v>32</v>
      </c>
      <c r="S11" t="s">
        <v>32</v>
      </c>
      <c r="V11" t="s">
        <v>32</v>
      </c>
      <c r="Y11" t="s">
        <v>32</v>
      </c>
    </row>
    <row r="12" spans="1:27" ht="43.5" x14ac:dyDescent="0.35">
      <c r="A12" t="s">
        <v>54</v>
      </c>
      <c r="B12" t="s">
        <v>55</v>
      </c>
      <c r="C12">
        <v>6</v>
      </c>
      <c r="D12">
        <v>108</v>
      </c>
      <c r="E12">
        <v>42</v>
      </c>
      <c r="F12">
        <v>66</v>
      </c>
      <c r="G12">
        <v>38.532110090000003</v>
      </c>
      <c r="H12" t="s">
        <v>56</v>
      </c>
      <c r="I12" t="s">
        <v>57</v>
      </c>
      <c r="J12">
        <v>1</v>
      </c>
      <c r="L12" t="s">
        <v>47</v>
      </c>
      <c r="M12" s="3" t="s">
        <v>58</v>
      </c>
      <c r="N12" t="s">
        <v>49</v>
      </c>
      <c r="O12">
        <v>35</v>
      </c>
      <c r="R12" t="s">
        <v>32</v>
      </c>
      <c r="U12" t="s">
        <v>32</v>
      </c>
      <c r="X12" t="s">
        <v>32</v>
      </c>
      <c r="AA12" t="s">
        <v>32</v>
      </c>
    </row>
    <row r="13" spans="1:27" ht="29" x14ac:dyDescent="0.35">
      <c r="A13" t="s">
        <v>65</v>
      </c>
      <c r="B13" t="s">
        <v>66</v>
      </c>
      <c r="C13">
        <v>7</v>
      </c>
      <c r="D13">
        <v>95</v>
      </c>
      <c r="E13">
        <v>59</v>
      </c>
      <c r="F13">
        <v>36</v>
      </c>
      <c r="G13">
        <v>62.10526316</v>
      </c>
      <c r="H13" t="s">
        <v>56</v>
      </c>
      <c r="I13" t="s">
        <v>57</v>
      </c>
      <c r="J13">
        <v>1</v>
      </c>
      <c r="L13" t="s">
        <v>47</v>
      </c>
      <c r="M13" s="3" t="s">
        <v>67</v>
      </c>
      <c r="N13" t="s">
        <v>68</v>
      </c>
      <c r="O13">
        <v>30</v>
      </c>
      <c r="R13" t="s">
        <v>32</v>
      </c>
      <c r="U13" t="s">
        <v>32</v>
      </c>
      <c r="X13" t="s">
        <v>32</v>
      </c>
      <c r="AA13" t="s">
        <v>32</v>
      </c>
    </row>
    <row r="14" spans="1:27" x14ac:dyDescent="0.35">
      <c r="A14" t="s">
        <v>79</v>
      </c>
      <c r="B14" t="s">
        <v>80</v>
      </c>
      <c r="C14">
        <v>7</v>
      </c>
      <c r="D14">
        <v>78</v>
      </c>
      <c r="E14">
        <v>64</v>
      </c>
      <c r="F14">
        <v>14</v>
      </c>
      <c r="G14">
        <v>82.051282049999998</v>
      </c>
      <c r="H14" t="s">
        <v>56</v>
      </c>
      <c r="I14" t="s">
        <v>57</v>
      </c>
      <c r="J14">
        <v>1</v>
      </c>
      <c r="L14" t="s">
        <v>47</v>
      </c>
      <c r="M14" s="3" t="s">
        <v>81</v>
      </c>
      <c r="N14" t="s">
        <v>49</v>
      </c>
      <c r="O14">
        <v>30</v>
      </c>
      <c r="P14" t="s">
        <v>32</v>
      </c>
      <c r="S14" t="s">
        <v>32</v>
      </c>
      <c r="V14" t="s">
        <v>32</v>
      </c>
      <c r="Y14" t="s">
        <v>32</v>
      </c>
    </row>
    <row r="15" spans="1:27" x14ac:dyDescent="0.35">
      <c r="A15" t="s">
        <v>95</v>
      </c>
      <c r="B15" t="s">
        <v>96</v>
      </c>
      <c r="C15">
        <v>6</v>
      </c>
      <c r="D15">
        <v>67</v>
      </c>
      <c r="E15">
        <v>27</v>
      </c>
      <c r="F15">
        <v>40</v>
      </c>
      <c r="G15">
        <v>40.298507460000003</v>
      </c>
      <c r="H15" t="s">
        <v>56</v>
      </c>
      <c r="I15" t="s">
        <v>57</v>
      </c>
      <c r="J15">
        <v>0.5</v>
      </c>
      <c r="L15" t="s">
        <v>47</v>
      </c>
      <c r="M15" s="3" t="s">
        <v>97</v>
      </c>
      <c r="N15" t="s">
        <v>98</v>
      </c>
      <c r="O15">
        <v>25</v>
      </c>
      <c r="P15" t="s">
        <v>32</v>
      </c>
      <c r="V15" t="s">
        <v>32</v>
      </c>
    </row>
    <row r="16" spans="1:27" x14ac:dyDescent="0.35">
      <c r="A16" t="s">
        <v>139</v>
      </c>
      <c r="B16" t="s">
        <v>140</v>
      </c>
      <c r="C16">
        <v>6</v>
      </c>
      <c r="D16">
        <v>38</v>
      </c>
      <c r="E16">
        <v>15</v>
      </c>
      <c r="F16">
        <v>23</v>
      </c>
      <c r="G16">
        <v>39.473684210000002</v>
      </c>
      <c r="H16" t="s">
        <v>56</v>
      </c>
      <c r="I16" t="s">
        <v>57</v>
      </c>
      <c r="J16">
        <v>0.5</v>
      </c>
      <c r="L16" t="s">
        <v>47</v>
      </c>
      <c r="M16" s="3" t="s">
        <v>141</v>
      </c>
      <c r="N16" t="s">
        <v>49</v>
      </c>
      <c r="O16">
        <v>20</v>
      </c>
      <c r="Q16" t="s">
        <v>32</v>
      </c>
      <c r="T16" t="s">
        <v>32</v>
      </c>
      <c r="W16" t="s">
        <v>32</v>
      </c>
      <c r="Z16" t="s">
        <v>32</v>
      </c>
    </row>
    <row r="17" spans="1:27" x14ac:dyDescent="0.35">
      <c r="A17" t="s">
        <v>200</v>
      </c>
      <c r="B17" t="s">
        <v>201</v>
      </c>
      <c r="C17">
        <v>6</v>
      </c>
      <c r="D17">
        <v>20</v>
      </c>
      <c r="E17">
        <v>0</v>
      </c>
      <c r="F17">
        <v>20</v>
      </c>
      <c r="G17">
        <v>0</v>
      </c>
      <c r="H17" t="s">
        <v>56</v>
      </c>
      <c r="I17" t="s">
        <v>57</v>
      </c>
      <c r="J17">
        <v>0.5</v>
      </c>
      <c r="L17" t="s">
        <v>47</v>
      </c>
      <c r="M17" s="3" t="s">
        <v>165</v>
      </c>
      <c r="N17" t="s">
        <v>98</v>
      </c>
      <c r="O17">
        <v>20</v>
      </c>
      <c r="S17" t="s">
        <v>32</v>
      </c>
      <c r="Y17" t="s">
        <v>32</v>
      </c>
    </row>
    <row r="18" spans="1:27" ht="29" x14ac:dyDescent="0.35">
      <c r="A18" t="s">
        <v>214</v>
      </c>
      <c r="B18" t="s">
        <v>215</v>
      </c>
      <c r="C18">
        <v>6</v>
      </c>
      <c r="D18">
        <v>16</v>
      </c>
      <c r="E18">
        <v>0</v>
      </c>
      <c r="F18">
        <v>16</v>
      </c>
      <c r="G18">
        <v>0</v>
      </c>
      <c r="H18" t="s">
        <v>56</v>
      </c>
      <c r="I18" t="s">
        <v>57</v>
      </c>
      <c r="J18">
        <v>0.5</v>
      </c>
      <c r="L18" t="s">
        <v>47</v>
      </c>
      <c r="M18" s="3" t="s">
        <v>216</v>
      </c>
      <c r="N18" t="s">
        <v>98</v>
      </c>
      <c r="O18">
        <v>20</v>
      </c>
      <c r="R18" t="s">
        <v>32</v>
      </c>
      <c r="X18" t="s">
        <v>32</v>
      </c>
    </row>
    <row r="19" spans="1:27" x14ac:dyDescent="0.35">
      <c r="A19" t="s">
        <v>74</v>
      </c>
      <c r="B19" t="s">
        <v>75</v>
      </c>
      <c r="C19">
        <v>7</v>
      </c>
      <c r="D19">
        <v>82</v>
      </c>
      <c r="E19">
        <v>52</v>
      </c>
      <c r="F19">
        <v>30</v>
      </c>
      <c r="G19">
        <v>64.197530860000001</v>
      </c>
      <c r="H19" t="s">
        <v>76</v>
      </c>
      <c r="I19" t="s">
        <v>43</v>
      </c>
      <c r="J19">
        <v>1</v>
      </c>
      <c r="L19" t="s">
        <v>37</v>
      </c>
      <c r="M19" s="3" t="s">
        <v>77</v>
      </c>
      <c r="N19" t="s">
        <v>78</v>
      </c>
      <c r="O19">
        <v>25</v>
      </c>
      <c r="Q19" t="s">
        <v>32</v>
      </c>
      <c r="S19" t="s">
        <v>32</v>
      </c>
      <c r="V19" t="s">
        <v>32</v>
      </c>
      <c r="Y19" t="s">
        <v>32</v>
      </c>
    </row>
    <row r="20" spans="1:27" x14ac:dyDescent="0.35">
      <c r="A20" t="s">
        <v>137</v>
      </c>
      <c r="B20" t="s">
        <v>138</v>
      </c>
      <c r="C20">
        <v>6</v>
      </c>
      <c r="D20">
        <v>40</v>
      </c>
      <c r="E20">
        <v>34</v>
      </c>
      <c r="F20">
        <v>6</v>
      </c>
      <c r="G20">
        <v>87.179487179999995</v>
      </c>
      <c r="H20" t="s">
        <v>76</v>
      </c>
      <c r="I20" t="s">
        <v>43</v>
      </c>
      <c r="J20">
        <v>0.5</v>
      </c>
      <c r="L20" t="s">
        <v>37</v>
      </c>
      <c r="O20">
        <v>25</v>
      </c>
      <c r="P20" t="s">
        <v>32</v>
      </c>
      <c r="S20" t="s">
        <v>32</v>
      </c>
      <c r="Y20" t="s">
        <v>32</v>
      </c>
    </row>
    <row r="21" spans="1:27" x14ac:dyDescent="0.35">
      <c r="A21" t="s">
        <v>142</v>
      </c>
      <c r="B21" t="s">
        <v>143</v>
      </c>
      <c r="C21">
        <v>6</v>
      </c>
      <c r="D21">
        <v>41</v>
      </c>
      <c r="E21">
        <v>43</v>
      </c>
      <c r="F21">
        <v>-2</v>
      </c>
      <c r="G21">
        <v>113.1578947</v>
      </c>
      <c r="H21" t="s">
        <v>76</v>
      </c>
      <c r="I21" t="s">
        <v>43</v>
      </c>
      <c r="J21">
        <v>0.5</v>
      </c>
      <c r="L21" t="s">
        <v>37</v>
      </c>
      <c r="O21">
        <v>25</v>
      </c>
      <c r="P21" t="s">
        <v>32</v>
      </c>
      <c r="V21" t="s">
        <v>32</v>
      </c>
    </row>
    <row r="22" spans="1:27" x14ac:dyDescent="0.35">
      <c r="A22" t="s">
        <v>174</v>
      </c>
      <c r="B22" t="s">
        <v>175</v>
      </c>
      <c r="C22">
        <v>6</v>
      </c>
      <c r="D22">
        <v>29</v>
      </c>
      <c r="E22">
        <v>8</v>
      </c>
      <c r="F22">
        <v>21</v>
      </c>
      <c r="G22">
        <v>28.571428569999998</v>
      </c>
      <c r="H22" t="s">
        <v>76</v>
      </c>
      <c r="I22" t="s">
        <v>43</v>
      </c>
      <c r="J22">
        <v>0.5</v>
      </c>
      <c r="L22" t="s">
        <v>37</v>
      </c>
      <c r="M22" s="3" t="s">
        <v>132</v>
      </c>
      <c r="O22">
        <v>25</v>
      </c>
      <c r="R22" t="s">
        <v>32</v>
      </c>
      <c r="X22" t="s">
        <v>32</v>
      </c>
    </row>
    <row r="23" spans="1:27" x14ac:dyDescent="0.35">
      <c r="A23" t="s">
        <v>212</v>
      </c>
      <c r="B23" t="s">
        <v>213</v>
      </c>
      <c r="C23">
        <v>6</v>
      </c>
      <c r="D23">
        <v>17</v>
      </c>
      <c r="E23">
        <v>7</v>
      </c>
      <c r="F23">
        <v>10</v>
      </c>
      <c r="G23">
        <v>41.176470590000001</v>
      </c>
      <c r="H23" t="s">
        <v>76</v>
      </c>
      <c r="I23" t="s">
        <v>43</v>
      </c>
      <c r="J23">
        <v>0.5</v>
      </c>
      <c r="L23" t="s">
        <v>37</v>
      </c>
      <c r="O23">
        <v>25</v>
      </c>
      <c r="T23" t="s">
        <v>32</v>
      </c>
      <c r="Z23" t="s">
        <v>32</v>
      </c>
    </row>
    <row r="24" spans="1:27" x14ac:dyDescent="0.35">
      <c r="A24" t="s">
        <v>146</v>
      </c>
      <c r="B24" t="s">
        <v>147</v>
      </c>
      <c r="C24">
        <v>7</v>
      </c>
      <c r="D24">
        <v>35</v>
      </c>
      <c r="E24">
        <v>38</v>
      </c>
      <c r="F24">
        <v>-3</v>
      </c>
      <c r="G24">
        <v>111.7647059</v>
      </c>
      <c r="H24" t="s">
        <v>148</v>
      </c>
      <c r="I24" t="s">
        <v>149</v>
      </c>
      <c r="J24">
        <v>0.5</v>
      </c>
      <c r="L24" t="s">
        <v>37</v>
      </c>
      <c r="M24" s="3" t="s">
        <v>150</v>
      </c>
      <c r="N24" t="s">
        <v>151</v>
      </c>
      <c r="O24">
        <v>30</v>
      </c>
      <c r="P24" t="s">
        <v>32</v>
      </c>
      <c r="S24" t="s">
        <v>32</v>
      </c>
      <c r="V24" t="s">
        <v>32</v>
      </c>
      <c r="Y24" t="s">
        <v>32</v>
      </c>
    </row>
    <row r="25" spans="1:27" x14ac:dyDescent="0.35">
      <c r="A25" t="s">
        <v>178</v>
      </c>
      <c r="B25" t="s">
        <v>179</v>
      </c>
      <c r="C25">
        <v>6</v>
      </c>
      <c r="D25">
        <v>26</v>
      </c>
      <c r="E25">
        <v>23</v>
      </c>
      <c r="F25">
        <v>3</v>
      </c>
      <c r="G25">
        <v>88.46153846</v>
      </c>
      <c r="H25" t="s">
        <v>148</v>
      </c>
      <c r="I25" t="s">
        <v>149</v>
      </c>
      <c r="J25">
        <v>0.5</v>
      </c>
      <c r="L25" t="s">
        <v>37</v>
      </c>
      <c r="O25">
        <v>25</v>
      </c>
      <c r="P25" t="s">
        <v>32</v>
      </c>
      <c r="V25" t="s">
        <v>32</v>
      </c>
    </row>
    <row r="26" spans="1:27" x14ac:dyDescent="0.35">
      <c r="A26" t="s">
        <v>188</v>
      </c>
      <c r="B26" t="s">
        <v>189</v>
      </c>
      <c r="C26">
        <v>7</v>
      </c>
      <c r="D26">
        <v>24</v>
      </c>
      <c r="E26">
        <v>13</v>
      </c>
      <c r="F26">
        <v>11</v>
      </c>
      <c r="G26">
        <v>54.166666669999998</v>
      </c>
      <c r="H26" t="s">
        <v>148</v>
      </c>
      <c r="I26" t="s">
        <v>149</v>
      </c>
      <c r="J26">
        <v>0.5</v>
      </c>
      <c r="L26" t="s">
        <v>37</v>
      </c>
      <c r="M26" s="3" t="s">
        <v>150</v>
      </c>
      <c r="N26" t="s">
        <v>151</v>
      </c>
      <c r="O26">
        <v>30</v>
      </c>
      <c r="R26" t="s">
        <v>32</v>
      </c>
      <c r="U26" t="s">
        <v>32</v>
      </c>
      <c r="X26" t="s">
        <v>32</v>
      </c>
      <c r="AA26" t="s">
        <v>32</v>
      </c>
    </row>
    <row r="27" spans="1:27" x14ac:dyDescent="0.35">
      <c r="A27" t="s">
        <v>190</v>
      </c>
      <c r="B27" t="s">
        <v>191</v>
      </c>
      <c r="C27">
        <v>6</v>
      </c>
      <c r="D27">
        <v>23</v>
      </c>
      <c r="E27">
        <v>0</v>
      </c>
      <c r="F27">
        <v>23</v>
      </c>
      <c r="G27">
        <v>0</v>
      </c>
      <c r="H27" t="s">
        <v>148</v>
      </c>
      <c r="I27" t="s">
        <v>149</v>
      </c>
      <c r="J27">
        <v>0.5</v>
      </c>
      <c r="L27" t="s">
        <v>37</v>
      </c>
      <c r="O27">
        <v>25</v>
      </c>
      <c r="Q27" t="s">
        <v>32</v>
      </c>
      <c r="S27" t="s">
        <v>32</v>
      </c>
      <c r="Y27" t="s">
        <v>32</v>
      </c>
    </row>
    <row r="28" spans="1:27" x14ac:dyDescent="0.35">
      <c r="A28" t="s">
        <v>202</v>
      </c>
      <c r="B28" t="s">
        <v>203</v>
      </c>
      <c r="C28">
        <v>6</v>
      </c>
      <c r="D28">
        <v>21</v>
      </c>
      <c r="E28">
        <v>29</v>
      </c>
      <c r="F28">
        <v>-8</v>
      </c>
      <c r="G28">
        <v>152.63157889999999</v>
      </c>
      <c r="H28" t="s">
        <v>148</v>
      </c>
      <c r="I28" t="s">
        <v>149</v>
      </c>
      <c r="J28">
        <v>0.5</v>
      </c>
      <c r="L28" t="s">
        <v>37</v>
      </c>
      <c r="O28">
        <v>25</v>
      </c>
      <c r="U28" t="s">
        <v>32</v>
      </c>
      <c r="AA28" t="s">
        <v>32</v>
      </c>
    </row>
    <row r="29" spans="1:27" x14ac:dyDescent="0.35">
      <c r="A29" t="s">
        <v>229</v>
      </c>
      <c r="B29" t="s">
        <v>230</v>
      </c>
      <c r="C29">
        <v>6</v>
      </c>
      <c r="D29">
        <v>9</v>
      </c>
      <c r="E29">
        <v>0</v>
      </c>
      <c r="F29">
        <v>9</v>
      </c>
      <c r="G29">
        <v>0</v>
      </c>
      <c r="H29" t="s">
        <v>148</v>
      </c>
      <c r="I29" t="s">
        <v>149</v>
      </c>
      <c r="J29">
        <v>0.5</v>
      </c>
      <c r="L29" t="s">
        <v>37</v>
      </c>
      <c r="O29">
        <v>25</v>
      </c>
      <c r="R29" t="s">
        <v>32</v>
      </c>
      <c r="X29" t="s">
        <v>32</v>
      </c>
    </row>
    <row r="30" spans="1:27" x14ac:dyDescent="0.35">
      <c r="A30" t="s">
        <v>27</v>
      </c>
      <c r="B30" t="s">
        <v>28</v>
      </c>
      <c r="C30">
        <v>6</v>
      </c>
      <c r="D30">
        <v>373</v>
      </c>
      <c r="E30">
        <v>489</v>
      </c>
      <c r="F30">
        <v>-116</v>
      </c>
      <c r="G30">
        <v>133.2425068</v>
      </c>
      <c r="H30" t="s">
        <v>29</v>
      </c>
      <c r="I30" t="s">
        <v>30</v>
      </c>
      <c r="J30">
        <v>2</v>
      </c>
      <c r="O30" t="s">
        <v>31</v>
      </c>
      <c r="P30" t="s">
        <v>32</v>
      </c>
      <c r="R30" t="s">
        <v>32</v>
      </c>
      <c r="S30" t="s">
        <v>32</v>
      </c>
      <c r="U30" t="s">
        <v>32</v>
      </c>
      <c r="V30" t="s">
        <v>32</v>
      </c>
      <c r="X30" t="s">
        <v>32</v>
      </c>
      <c r="Y30" t="s">
        <v>32</v>
      </c>
      <c r="AA30" t="s">
        <v>32</v>
      </c>
    </row>
    <row r="31" spans="1:27" x14ac:dyDescent="0.35">
      <c r="A31" t="s">
        <v>50</v>
      </c>
      <c r="B31" t="s">
        <v>51</v>
      </c>
      <c r="C31">
        <v>6</v>
      </c>
      <c r="D31">
        <v>113</v>
      </c>
      <c r="E31">
        <v>73</v>
      </c>
      <c r="F31">
        <v>40</v>
      </c>
      <c r="G31">
        <v>68.224299070000001</v>
      </c>
      <c r="H31" t="s">
        <v>29</v>
      </c>
      <c r="I31" t="s">
        <v>36</v>
      </c>
      <c r="J31">
        <v>1</v>
      </c>
      <c r="L31" t="s">
        <v>37</v>
      </c>
      <c r="M31" s="3" t="s">
        <v>52</v>
      </c>
      <c r="N31" t="s">
        <v>53</v>
      </c>
      <c r="O31">
        <v>30</v>
      </c>
      <c r="R31" t="s">
        <v>32</v>
      </c>
      <c r="U31" t="s">
        <v>32</v>
      </c>
      <c r="X31" t="s">
        <v>32</v>
      </c>
      <c r="AA31" t="s">
        <v>32</v>
      </c>
    </row>
    <row r="32" spans="1:27" x14ac:dyDescent="0.35">
      <c r="A32" t="s">
        <v>59</v>
      </c>
      <c r="B32" t="s">
        <v>60</v>
      </c>
      <c r="C32">
        <v>6</v>
      </c>
      <c r="D32">
        <v>72</v>
      </c>
      <c r="E32">
        <v>45</v>
      </c>
      <c r="F32">
        <v>27</v>
      </c>
      <c r="G32">
        <v>61.643835619999997</v>
      </c>
      <c r="H32" t="s">
        <v>29</v>
      </c>
      <c r="I32" t="s">
        <v>36</v>
      </c>
      <c r="J32">
        <v>1</v>
      </c>
      <c r="L32" t="s">
        <v>37</v>
      </c>
      <c r="O32">
        <v>25</v>
      </c>
      <c r="Q32" t="s">
        <v>32</v>
      </c>
      <c r="T32" t="s">
        <v>32</v>
      </c>
      <c r="W32" t="s">
        <v>32</v>
      </c>
      <c r="Z32" t="s">
        <v>32</v>
      </c>
    </row>
    <row r="33" spans="1:27" x14ac:dyDescent="0.35">
      <c r="A33" t="s">
        <v>69</v>
      </c>
      <c r="B33" t="s">
        <v>70</v>
      </c>
      <c r="C33">
        <v>6</v>
      </c>
      <c r="D33">
        <v>60</v>
      </c>
      <c r="E33">
        <v>30</v>
      </c>
      <c r="F33">
        <v>30</v>
      </c>
      <c r="G33">
        <v>50</v>
      </c>
      <c r="H33" t="s">
        <v>29</v>
      </c>
      <c r="I33" t="s">
        <v>36</v>
      </c>
      <c r="J33">
        <v>1</v>
      </c>
      <c r="L33" t="s">
        <v>37</v>
      </c>
      <c r="O33">
        <v>25</v>
      </c>
      <c r="S33" t="s">
        <v>32</v>
      </c>
      <c r="V33" t="s">
        <v>32</v>
      </c>
      <c r="Y33" t="s">
        <v>32</v>
      </c>
    </row>
    <row r="34" spans="1:27" x14ac:dyDescent="0.35">
      <c r="A34" t="s">
        <v>86</v>
      </c>
      <c r="B34" t="s">
        <v>87</v>
      </c>
      <c r="C34">
        <v>6</v>
      </c>
      <c r="D34">
        <v>54</v>
      </c>
      <c r="E34">
        <v>46</v>
      </c>
      <c r="F34">
        <v>8</v>
      </c>
      <c r="G34">
        <v>85.185185189999999</v>
      </c>
      <c r="H34" t="s">
        <v>29</v>
      </c>
      <c r="I34" t="s">
        <v>36</v>
      </c>
      <c r="J34">
        <v>0.5</v>
      </c>
      <c r="L34" t="s">
        <v>37</v>
      </c>
      <c r="O34">
        <v>30</v>
      </c>
      <c r="U34" t="s">
        <v>32</v>
      </c>
      <c r="AA34" t="s">
        <v>32</v>
      </c>
    </row>
    <row r="35" spans="1:27" x14ac:dyDescent="0.35">
      <c r="A35" t="s">
        <v>105</v>
      </c>
      <c r="B35" t="s">
        <v>106</v>
      </c>
      <c r="C35">
        <v>6</v>
      </c>
      <c r="D35">
        <v>10</v>
      </c>
      <c r="E35">
        <v>0</v>
      </c>
      <c r="F35">
        <v>10</v>
      </c>
      <c r="G35">
        <v>0</v>
      </c>
      <c r="H35" t="s">
        <v>29</v>
      </c>
      <c r="I35" t="s">
        <v>36</v>
      </c>
      <c r="J35">
        <v>0.5</v>
      </c>
      <c r="L35" t="s">
        <v>37</v>
      </c>
      <c r="O35">
        <v>25</v>
      </c>
      <c r="R35" t="s">
        <v>32</v>
      </c>
      <c r="X35" t="s">
        <v>32</v>
      </c>
    </row>
    <row r="36" spans="1:27" ht="29" x14ac:dyDescent="0.35">
      <c r="A36" t="s">
        <v>61</v>
      </c>
      <c r="B36" t="s">
        <v>62</v>
      </c>
      <c r="C36">
        <v>6</v>
      </c>
      <c r="D36">
        <v>105</v>
      </c>
      <c r="E36">
        <v>57</v>
      </c>
      <c r="F36">
        <v>48</v>
      </c>
      <c r="G36">
        <v>55.339805830000003</v>
      </c>
      <c r="H36" t="s">
        <v>63</v>
      </c>
      <c r="I36" t="s">
        <v>43</v>
      </c>
      <c r="J36">
        <v>0.5</v>
      </c>
      <c r="M36" s="3" t="s">
        <v>64</v>
      </c>
      <c r="O36">
        <v>25</v>
      </c>
      <c r="R36" t="s">
        <v>32</v>
      </c>
      <c r="X36" t="s">
        <v>32</v>
      </c>
    </row>
    <row r="37" spans="1:27" x14ac:dyDescent="0.35">
      <c r="A37" t="s">
        <v>99</v>
      </c>
      <c r="B37" t="s">
        <v>100</v>
      </c>
      <c r="C37">
        <v>7</v>
      </c>
      <c r="D37">
        <v>72</v>
      </c>
      <c r="E37">
        <v>76</v>
      </c>
      <c r="F37">
        <v>-4</v>
      </c>
      <c r="G37">
        <v>113.43283580000001</v>
      </c>
      <c r="H37" t="s">
        <v>63</v>
      </c>
      <c r="I37" t="s">
        <v>43</v>
      </c>
      <c r="J37">
        <v>1</v>
      </c>
      <c r="M37" s="3" t="s">
        <v>101</v>
      </c>
      <c r="O37">
        <v>25</v>
      </c>
      <c r="P37" t="s">
        <v>32</v>
      </c>
      <c r="S37" t="s">
        <v>32</v>
      </c>
      <c r="V37" t="s">
        <v>32</v>
      </c>
      <c r="Y37" t="s">
        <v>32</v>
      </c>
    </row>
    <row r="38" spans="1:27" ht="29" x14ac:dyDescent="0.35">
      <c r="A38" t="s">
        <v>107</v>
      </c>
      <c r="B38" t="s">
        <v>108</v>
      </c>
      <c r="C38">
        <v>7</v>
      </c>
      <c r="D38">
        <v>149</v>
      </c>
      <c r="E38">
        <v>97</v>
      </c>
      <c r="F38">
        <v>52</v>
      </c>
      <c r="G38">
        <v>67.361111109999996</v>
      </c>
      <c r="H38" t="s">
        <v>63</v>
      </c>
      <c r="I38" t="s">
        <v>36</v>
      </c>
      <c r="J38">
        <v>1</v>
      </c>
      <c r="L38" t="s">
        <v>37</v>
      </c>
      <c r="M38" s="3" t="s">
        <v>109</v>
      </c>
      <c r="O38">
        <v>45</v>
      </c>
      <c r="P38" t="s">
        <v>32</v>
      </c>
      <c r="R38" t="s">
        <v>32</v>
      </c>
      <c r="S38" t="s">
        <v>32</v>
      </c>
      <c r="U38" t="s">
        <v>32</v>
      </c>
      <c r="V38" t="s">
        <v>32</v>
      </c>
      <c r="X38" t="s">
        <v>32</v>
      </c>
      <c r="Y38" t="s">
        <v>32</v>
      </c>
      <c r="AA38" t="s">
        <v>32</v>
      </c>
    </row>
    <row r="39" spans="1:27" x14ac:dyDescent="0.35">
      <c r="A39" t="s">
        <v>125</v>
      </c>
      <c r="B39" t="s">
        <v>126</v>
      </c>
      <c r="C39">
        <v>6</v>
      </c>
      <c r="D39">
        <v>47</v>
      </c>
      <c r="E39">
        <v>15</v>
      </c>
      <c r="F39">
        <v>32</v>
      </c>
      <c r="G39">
        <v>33.333333330000002</v>
      </c>
      <c r="H39" t="s">
        <v>63</v>
      </c>
      <c r="I39" t="s">
        <v>43</v>
      </c>
      <c r="J39">
        <v>0.5</v>
      </c>
      <c r="M39" s="3" t="s">
        <v>127</v>
      </c>
      <c r="O39">
        <v>25</v>
      </c>
      <c r="Q39" t="s">
        <v>32</v>
      </c>
      <c r="W39" t="s">
        <v>32</v>
      </c>
    </row>
    <row r="40" spans="1:27" x14ac:dyDescent="0.35">
      <c r="A40" t="s">
        <v>135</v>
      </c>
      <c r="B40" t="s">
        <v>136</v>
      </c>
      <c r="C40">
        <v>6</v>
      </c>
      <c r="D40">
        <v>43</v>
      </c>
      <c r="E40">
        <v>47</v>
      </c>
      <c r="F40">
        <v>-4</v>
      </c>
      <c r="G40">
        <v>111.9047619</v>
      </c>
      <c r="H40" t="s">
        <v>63</v>
      </c>
      <c r="I40" t="s">
        <v>43</v>
      </c>
      <c r="J40">
        <v>0.5</v>
      </c>
      <c r="M40" s="3" t="s">
        <v>127</v>
      </c>
      <c r="O40">
        <v>25</v>
      </c>
      <c r="S40" t="s">
        <v>32</v>
      </c>
      <c r="Y40" t="s">
        <v>32</v>
      </c>
    </row>
    <row r="41" spans="1:27" x14ac:dyDescent="0.35">
      <c r="A41" t="s">
        <v>217</v>
      </c>
      <c r="B41" t="s">
        <v>218</v>
      </c>
      <c r="C41">
        <v>6</v>
      </c>
      <c r="D41">
        <v>16</v>
      </c>
      <c r="E41">
        <v>0</v>
      </c>
      <c r="F41">
        <v>16</v>
      </c>
      <c r="G41">
        <v>0</v>
      </c>
      <c r="H41" t="s">
        <v>63</v>
      </c>
      <c r="I41" t="s">
        <v>43</v>
      </c>
      <c r="J41">
        <v>0.5</v>
      </c>
      <c r="O41">
        <v>25</v>
      </c>
      <c r="T41" t="s">
        <v>32</v>
      </c>
      <c r="Z41" t="s">
        <v>32</v>
      </c>
    </row>
    <row r="42" spans="1:27" ht="29" x14ac:dyDescent="0.35">
      <c r="A42" t="s">
        <v>115</v>
      </c>
      <c r="B42" t="s">
        <v>250</v>
      </c>
      <c r="C42">
        <v>7</v>
      </c>
      <c r="D42">
        <v>6</v>
      </c>
      <c r="E42">
        <v>0</v>
      </c>
      <c r="F42">
        <v>6</v>
      </c>
      <c r="G42">
        <v>0</v>
      </c>
      <c r="H42" t="s">
        <v>116</v>
      </c>
      <c r="I42" t="s">
        <v>36</v>
      </c>
      <c r="J42">
        <v>0.5</v>
      </c>
      <c r="L42" t="s">
        <v>117</v>
      </c>
      <c r="M42" s="3" t="s">
        <v>118</v>
      </c>
      <c r="R42" t="s">
        <v>32</v>
      </c>
      <c r="X42" t="s">
        <v>32</v>
      </c>
    </row>
    <row r="43" spans="1:27" ht="29" x14ac:dyDescent="0.35">
      <c r="A43" t="s">
        <v>123</v>
      </c>
      <c r="B43" t="s">
        <v>124</v>
      </c>
      <c r="C43">
        <v>7</v>
      </c>
      <c r="D43">
        <v>6</v>
      </c>
      <c r="E43">
        <v>7</v>
      </c>
      <c r="F43">
        <v>-1</v>
      </c>
      <c r="G43">
        <v>116.66666669999999</v>
      </c>
      <c r="H43" t="s">
        <v>116</v>
      </c>
      <c r="I43" t="s">
        <v>36</v>
      </c>
      <c r="J43">
        <v>0.5</v>
      </c>
      <c r="L43" t="s">
        <v>117</v>
      </c>
      <c r="M43" s="3" t="s">
        <v>118</v>
      </c>
      <c r="P43" t="s">
        <v>32</v>
      </c>
      <c r="V43" t="s">
        <v>32</v>
      </c>
    </row>
    <row r="44" spans="1:27" ht="29" x14ac:dyDescent="0.35">
      <c r="A44" t="s">
        <v>128</v>
      </c>
      <c r="B44" t="s">
        <v>129</v>
      </c>
      <c r="C44">
        <v>6</v>
      </c>
      <c r="D44">
        <v>5</v>
      </c>
      <c r="E44">
        <v>0</v>
      </c>
      <c r="F44">
        <v>5</v>
      </c>
      <c r="G44">
        <v>0</v>
      </c>
      <c r="H44" t="s">
        <v>116</v>
      </c>
      <c r="I44" t="s">
        <v>36</v>
      </c>
      <c r="J44">
        <v>0.5</v>
      </c>
      <c r="L44" t="s">
        <v>117</v>
      </c>
      <c r="M44" s="3" t="s">
        <v>118</v>
      </c>
      <c r="S44" t="s">
        <v>32</v>
      </c>
      <c r="Y44" t="s">
        <v>32</v>
      </c>
    </row>
    <row r="45" spans="1:27" ht="29" x14ac:dyDescent="0.35">
      <c r="A45" t="s">
        <v>144</v>
      </c>
      <c r="B45" t="s">
        <v>145</v>
      </c>
      <c r="C45">
        <v>6</v>
      </c>
      <c r="D45">
        <v>3</v>
      </c>
      <c r="E45">
        <v>0</v>
      </c>
      <c r="F45">
        <v>3</v>
      </c>
      <c r="G45">
        <v>0</v>
      </c>
      <c r="H45" t="s">
        <v>116</v>
      </c>
      <c r="I45" t="s">
        <v>36</v>
      </c>
      <c r="J45">
        <v>0.5</v>
      </c>
      <c r="L45" t="s">
        <v>117</v>
      </c>
      <c r="M45" s="3" t="s">
        <v>118</v>
      </c>
      <c r="U45" t="s">
        <v>32</v>
      </c>
      <c r="AA45" t="s">
        <v>32</v>
      </c>
    </row>
    <row r="46" spans="1:27" ht="29" x14ac:dyDescent="0.35">
      <c r="A46" t="s">
        <v>161</v>
      </c>
      <c r="B46" t="s">
        <v>162</v>
      </c>
      <c r="C46">
        <v>6</v>
      </c>
      <c r="D46">
        <v>4</v>
      </c>
      <c r="E46">
        <v>0</v>
      </c>
      <c r="F46">
        <v>4</v>
      </c>
      <c r="G46">
        <v>0</v>
      </c>
      <c r="H46" t="s">
        <v>116</v>
      </c>
      <c r="I46" t="s">
        <v>36</v>
      </c>
      <c r="J46">
        <v>0.5</v>
      </c>
      <c r="L46" t="s">
        <v>117</v>
      </c>
      <c r="M46" s="3" t="s">
        <v>118</v>
      </c>
      <c r="Q46" t="s">
        <v>32</v>
      </c>
      <c r="W46" t="s">
        <v>32</v>
      </c>
    </row>
    <row r="47" spans="1:27" ht="29" x14ac:dyDescent="0.35">
      <c r="A47" t="s">
        <v>119</v>
      </c>
      <c r="B47" t="s">
        <v>120</v>
      </c>
      <c r="C47">
        <v>7</v>
      </c>
      <c r="D47">
        <v>54</v>
      </c>
      <c r="E47">
        <v>35</v>
      </c>
      <c r="F47">
        <v>19</v>
      </c>
      <c r="G47">
        <v>66.037735850000004</v>
      </c>
      <c r="H47" t="s">
        <v>121</v>
      </c>
      <c r="I47" t="s">
        <v>57</v>
      </c>
      <c r="J47">
        <v>1</v>
      </c>
      <c r="L47" t="s">
        <v>47</v>
      </c>
      <c r="M47" s="3" t="s">
        <v>122</v>
      </c>
      <c r="N47" t="s">
        <v>49</v>
      </c>
      <c r="O47">
        <v>25</v>
      </c>
      <c r="R47" t="s">
        <v>32</v>
      </c>
      <c r="U47" t="s">
        <v>32</v>
      </c>
      <c r="X47" t="s">
        <v>32</v>
      </c>
      <c r="AA47" t="s">
        <v>32</v>
      </c>
    </row>
    <row r="48" spans="1:27" ht="29" x14ac:dyDescent="0.35">
      <c r="A48" t="s">
        <v>152</v>
      </c>
      <c r="B48" t="s">
        <v>153</v>
      </c>
      <c r="C48">
        <v>7</v>
      </c>
      <c r="D48">
        <v>34</v>
      </c>
      <c r="E48">
        <v>46</v>
      </c>
      <c r="F48">
        <v>-12</v>
      </c>
      <c r="G48">
        <v>135.29411759999999</v>
      </c>
      <c r="H48" t="s">
        <v>121</v>
      </c>
      <c r="I48" t="s">
        <v>57</v>
      </c>
      <c r="J48">
        <v>0.5</v>
      </c>
      <c r="L48" t="s">
        <v>47</v>
      </c>
      <c r="M48" s="3" t="s">
        <v>122</v>
      </c>
      <c r="N48" t="s">
        <v>49</v>
      </c>
      <c r="O48">
        <v>20</v>
      </c>
      <c r="P48" t="s">
        <v>32</v>
      </c>
      <c r="S48" t="s">
        <v>32</v>
      </c>
      <c r="V48" t="s">
        <v>32</v>
      </c>
      <c r="Y48" t="s">
        <v>32</v>
      </c>
    </row>
    <row r="49" spans="1:27" x14ac:dyDescent="0.35">
      <c r="A49" t="s">
        <v>180</v>
      </c>
      <c r="B49" t="s">
        <v>181</v>
      </c>
      <c r="C49">
        <v>6</v>
      </c>
      <c r="D49">
        <v>27</v>
      </c>
      <c r="E49">
        <v>0</v>
      </c>
      <c r="F49">
        <v>27</v>
      </c>
      <c r="G49">
        <v>0</v>
      </c>
      <c r="H49" t="s">
        <v>121</v>
      </c>
      <c r="I49" t="s">
        <v>57</v>
      </c>
      <c r="J49">
        <v>0.5</v>
      </c>
      <c r="L49" t="s">
        <v>47</v>
      </c>
      <c r="M49" s="3" t="s">
        <v>165</v>
      </c>
      <c r="N49" t="s">
        <v>98</v>
      </c>
      <c r="O49">
        <v>20</v>
      </c>
      <c r="R49" t="s">
        <v>32</v>
      </c>
      <c r="X49" t="s">
        <v>32</v>
      </c>
    </row>
    <row r="50" spans="1:27" x14ac:dyDescent="0.35">
      <c r="A50" t="s">
        <v>192</v>
      </c>
      <c r="B50" t="s">
        <v>193</v>
      </c>
      <c r="C50">
        <v>6</v>
      </c>
      <c r="D50">
        <v>22</v>
      </c>
      <c r="E50">
        <v>14</v>
      </c>
      <c r="F50">
        <v>8</v>
      </c>
      <c r="G50">
        <v>66.666666669999998</v>
      </c>
      <c r="H50" t="s">
        <v>121</v>
      </c>
      <c r="I50" t="s">
        <v>57</v>
      </c>
      <c r="J50">
        <v>0.5</v>
      </c>
      <c r="L50" t="s">
        <v>47</v>
      </c>
      <c r="M50" s="3" t="s">
        <v>165</v>
      </c>
      <c r="N50" t="s">
        <v>98</v>
      </c>
      <c r="O50">
        <v>25</v>
      </c>
      <c r="U50" t="s">
        <v>32</v>
      </c>
      <c r="AA50" t="s">
        <v>32</v>
      </c>
    </row>
    <row r="51" spans="1:27" x14ac:dyDescent="0.35">
      <c r="A51" t="s">
        <v>206</v>
      </c>
      <c r="B51" t="s">
        <v>207</v>
      </c>
      <c r="C51">
        <v>6</v>
      </c>
      <c r="D51">
        <v>19</v>
      </c>
      <c r="E51">
        <v>0</v>
      </c>
      <c r="F51">
        <v>19</v>
      </c>
      <c r="G51">
        <v>0</v>
      </c>
      <c r="H51" t="s">
        <v>121</v>
      </c>
      <c r="I51" t="s">
        <v>57</v>
      </c>
      <c r="J51">
        <v>0.5</v>
      </c>
      <c r="L51" t="s">
        <v>47</v>
      </c>
      <c r="M51" s="3" t="s">
        <v>165</v>
      </c>
      <c r="N51" t="s">
        <v>98</v>
      </c>
      <c r="O51">
        <v>25</v>
      </c>
      <c r="Q51" t="s">
        <v>32</v>
      </c>
      <c r="W51" t="s">
        <v>32</v>
      </c>
    </row>
    <row r="52" spans="1:27" x14ac:dyDescent="0.35">
      <c r="A52" t="s">
        <v>166</v>
      </c>
      <c r="B52" t="s">
        <v>167</v>
      </c>
      <c r="C52">
        <v>6</v>
      </c>
      <c r="D52">
        <v>113</v>
      </c>
      <c r="E52">
        <v>65</v>
      </c>
      <c r="F52">
        <v>48</v>
      </c>
      <c r="G52">
        <v>59.090909089999997</v>
      </c>
      <c r="H52" t="s">
        <v>168</v>
      </c>
      <c r="I52" t="s">
        <v>36</v>
      </c>
      <c r="J52">
        <v>1</v>
      </c>
      <c r="L52" t="s">
        <v>37</v>
      </c>
      <c r="M52" s="3" t="s">
        <v>169</v>
      </c>
      <c r="O52">
        <v>30</v>
      </c>
      <c r="R52" t="s">
        <v>32</v>
      </c>
      <c r="U52" t="s">
        <v>32</v>
      </c>
      <c r="X52" t="s">
        <v>32</v>
      </c>
      <c r="AA52" t="s">
        <v>32</v>
      </c>
    </row>
    <row r="53" spans="1:27" x14ac:dyDescent="0.35">
      <c r="A53" t="s">
        <v>176</v>
      </c>
      <c r="B53" t="s">
        <v>177</v>
      </c>
      <c r="C53">
        <v>7</v>
      </c>
      <c r="D53">
        <v>87</v>
      </c>
      <c r="E53">
        <v>56</v>
      </c>
      <c r="F53">
        <v>31</v>
      </c>
      <c r="G53">
        <v>65.116279070000004</v>
      </c>
      <c r="H53" t="s">
        <v>168</v>
      </c>
      <c r="I53" t="s">
        <v>36</v>
      </c>
      <c r="J53">
        <v>1</v>
      </c>
      <c r="L53" t="s">
        <v>37</v>
      </c>
      <c r="O53">
        <v>25</v>
      </c>
      <c r="P53" t="s">
        <v>32</v>
      </c>
      <c r="S53" t="s">
        <v>32</v>
      </c>
      <c r="V53" t="s">
        <v>32</v>
      </c>
      <c r="Y53" t="s">
        <v>32</v>
      </c>
    </row>
    <row r="54" spans="1:27" x14ac:dyDescent="0.35">
      <c r="A54" t="s">
        <v>186</v>
      </c>
      <c r="B54" t="s">
        <v>187</v>
      </c>
      <c r="C54">
        <v>6</v>
      </c>
      <c r="D54">
        <v>57</v>
      </c>
      <c r="E54">
        <v>55</v>
      </c>
      <c r="F54">
        <v>2</v>
      </c>
      <c r="G54">
        <v>96.491228070000005</v>
      </c>
      <c r="H54" t="s">
        <v>168</v>
      </c>
      <c r="I54" t="s">
        <v>36</v>
      </c>
      <c r="J54">
        <v>1</v>
      </c>
      <c r="L54" t="s">
        <v>37</v>
      </c>
      <c r="O54">
        <v>25</v>
      </c>
      <c r="P54" t="s">
        <v>32</v>
      </c>
      <c r="S54" t="s">
        <v>32</v>
      </c>
      <c r="V54" t="s">
        <v>32</v>
      </c>
      <c r="Y54" t="s">
        <v>32</v>
      </c>
    </row>
    <row r="55" spans="1:27" x14ac:dyDescent="0.35">
      <c r="A55" t="s">
        <v>210</v>
      </c>
      <c r="B55" t="s">
        <v>211</v>
      </c>
      <c r="C55">
        <v>7</v>
      </c>
      <c r="D55">
        <v>46</v>
      </c>
      <c r="E55">
        <v>7</v>
      </c>
      <c r="F55">
        <v>39</v>
      </c>
      <c r="G55">
        <v>15.55555556</v>
      </c>
      <c r="H55" t="s">
        <v>168</v>
      </c>
      <c r="I55" t="s">
        <v>36</v>
      </c>
      <c r="J55">
        <v>1</v>
      </c>
      <c r="L55" t="s">
        <v>37</v>
      </c>
      <c r="O55">
        <v>30</v>
      </c>
      <c r="Q55" t="s">
        <v>32</v>
      </c>
      <c r="U55" t="s">
        <v>32</v>
      </c>
      <c r="X55" t="s">
        <v>32</v>
      </c>
      <c r="AA55" t="s">
        <v>32</v>
      </c>
    </row>
    <row r="56" spans="1:27" x14ac:dyDescent="0.35">
      <c r="A56" t="s">
        <v>90</v>
      </c>
      <c r="B56" t="s">
        <v>91</v>
      </c>
      <c r="C56">
        <v>6</v>
      </c>
      <c r="D56">
        <v>74</v>
      </c>
      <c r="E56">
        <v>62</v>
      </c>
      <c r="F56">
        <v>12</v>
      </c>
      <c r="G56">
        <v>86.111111109999996</v>
      </c>
      <c r="H56" t="s">
        <v>92</v>
      </c>
      <c r="I56" t="s">
        <v>43</v>
      </c>
      <c r="J56">
        <v>1</v>
      </c>
      <c r="L56" t="s">
        <v>37</v>
      </c>
      <c r="M56" s="3" t="s">
        <v>77</v>
      </c>
      <c r="O56">
        <v>25</v>
      </c>
      <c r="P56" t="s">
        <v>32</v>
      </c>
      <c r="S56" t="s">
        <v>32</v>
      </c>
      <c r="V56" t="s">
        <v>32</v>
      </c>
      <c r="Y56" t="s">
        <v>32</v>
      </c>
    </row>
    <row r="57" spans="1:27" x14ac:dyDescent="0.35">
      <c r="A57" t="s">
        <v>93</v>
      </c>
      <c r="B57" t="s">
        <v>94</v>
      </c>
      <c r="C57">
        <v>7</v>
      </c>
      <c r="D57">
        <v>73</v>
      </c>
      <c r="E57">
        <v>70</v>
      </c>
      <c r="F57">
        <v>3</v>
      </c>
      <c r="G57">
        <v>97.222222220000006</v>
      </c>
      <c r="H57" t="s">
        <v>92</v>
      </c>
      <c r="I57" t="s">
        <v>43</v>
      </c>
      <c r="J57">
        <v>1</v>
      </c>
      <c r="L57" t="s">
        <v>37</v>
      </c>
      <c r="M57" s="3" t="s">
        <v>77</v>
      </c>
      <c r="O57">
        <v>25</v>
      </c>
      <c r="R57" t="s">
        <v>32</v>
      </c>
      <c r="U57" t="s">
        <v>32</v>
      </c>
      <c r="X57" t="s">
        <v>32</v>
      </c>
      <c r="AA57" t="s">
        <v>32</v>
      </c>
    </row>
    <row r="58" spans="1:27" x14ac:dyDescent="0.35">
      <c r="A58" t="s">
        <v>110</v>
      </c>
      <c r="B58" t="s">
        <v>111</v>
      </c>
      <c r="C58">
        <v>6</v>
      </c>
      <c r="D58">
        <v>58</v>
      </c>
      <c r="E58">
        <v>65</v>
      </c>
      <c r="F58">
        <v>-7</v>
      </c>
      <c r="G58">
        <v>116.0714286</v>
      </c>
      <c r="H58" t="s">
        <v>92</v>
      </c>
      <c r="I58" t="s">
        <v>43</v>
      </c>
      <c r="J58">
        <v>1</v>
      </c>
      <c r="L58" t="s">
        <v>37</v>
      </c>
      <c r="M58" s="3" t="s">
        <v>112</v>
      </c>
      <c r="O58">
        <v>25</v>
      </c>
      <c r="P58" t="s">
        <v>32</v>
      </c>
      <c r="S58" t="s">
        <v>32</v>
      </c>
      <c r="V58" t="s">
        <v>32</v>
      </c>
      <c r="Y58" t="s">
        <v>32</v>
      </c>
    </row>
    <row r="59" spans="1:27" x14ac:dyDescent="0.35">
      <c r="A59" t="s">
        <v>130</v>
      </c>
      <c r="B59" t="s">
        <v>131</v>
      </c>
      <c r="C59">
        <v>6</v>
      </c>
      <c r="D59">
        <v>43</v>
      </c>
      <c r="E59">
        <v>10</v>
      </c>
      <c r="F59">
        <v>33</v>
      </c>
      <c r="G59">
        <v>23.25581395</v>
      </c>
      <c r="H59" t="s">
        <v>92</v>
      </c>
      <c r="I59" t="s">
        <v>43</v>
      </c>
      <c r="J59">
        <v>0.5</v>
      </c>
      <c r="L59" t="s">
        <v>37</v>
      </c>
      <c r="M59" s="3" t="s">
        <v>132</v>
      </c>
      <c r="O59">
        <v>25</v>
      </c>
      <c r="Q59" t="s">
        <v>32</v>
      </c>
      <c r="U59" t="s">
        <v>32</v>
      </c>
      <c r="X59" t="s">
        <v>32</v>
      </c>
      <c r="AA59" t="s">
        <v>32</v>
      </c>
    </row>
    <row r="60" spans="1:27" x14ac:dyDescent="0.35">
      <c r="A60" t="s">
        <v>133</v>
      </c>
      <c r="B60" t="s">
        <v>134</v>
      </c>
      <c r="C60">
        <v>6</v>
      </c>
      <c r="D60">
        <v>43</v>
      </c>
      <c r="E60">
        <v>19</v>
      </c>
      <c r="F60">
        <v>24</v>
      </c>
      <c r="G60">
        <v>45.23809524</v>
      </c>
      <c r="H60" t="s">
        <v>92</v>
      </c>
      <c r="I60" t="s">
        <v>43</v>
      </c>
      <c r="J60">
        <v>0.5</v>
      </c>
      <c r="L60" t="s">
        <v>37</v>
      </c>
      <c r="O60">
        <v>25</v>
      </c>
      <c r="Q60" t="s">
        <v>32</v>
      </c>
      <c r="W60" t="s">
        <v>32</v>
      </c>
    </row>
    <row r="61" spans="1:27" x14ac:dyDescent="0.35">
      <c r="A61" t="s">
        <v>184</v>
      </c>
      <c r="B61" t="s">
        <v>185</v>
      </c>
      <c r="C61">
        <v>6</v>
      </c>
      <c r="D61">
        <v>27</v>
      </c>
      <c r="E61">
        <v>12</v>
      </c>
      <c r="F61">
        <v>15</v>
      </c>
      <c r="G61">
        <v>46.15384615</v>
      </c>
      <c r="H61" t="s">
        <v>92</v>
      </c>
      <c r="I61" t="s">
        <v>43</v>
      </c>
      <c r="J61">
        <v>0.5</v>
      </c>
      <c r="L61" t="s">
        <v>37</v>
      </c>
      <c r="O61">
        <v>25</v>
      </c>
      <c r="T61" t="s">
        <v>32</v>
      </c>
      <c r="Z61" t="s">
        <v>32</v>
      </c>
    </row>
    <row r="62" spans="1:27" x14ac:dyDescent="0.35">
      <c r="A62" t="s">
        <v>240</v>
      </c>
      <c r="B62" t="s">
        <v>241</v>
      </c>
      <c r="C62">
        <v>6</v>
      </c>
      <c r="D62">
        <v>6</v>
      </c>
      <c r="E62">
        <v>0</v>
      </c>
      <c r="F62">
        <v>6</v>
      </c>
      <c r="G62">
        <v>0</v>
      </c>
      <c r="H62" t="s">
        <v>92</v>
      </c>
      <c r="I62" t="s">
        <v>43</v>
      </c>
      <c r="J62">
        <v>0.5</v>
      </c>
      <c r="L62" t="s">
        <v>37</v>
      </c>
      <c r="M62" s="3" t="s">
        <v>242</v>
      </c>
      <c r="O62">
        <v>25</v>
      </c>
      <c r="R62" t="s">
        <v>32</v>
      </c>
      <c r="X62" t="s">
        <v>32</v>
      </c>
    </row>
    <row r="63" spans="1:27" x14ac:dyDescent="0.35">
      <c r="A63" t="s">
        <v>235</v>
      </c>
      <c r="B63" t="s">
        <v>236</v>
      </c>
      <c r="C63">
        <v>7</v>
      </c>
      <c r="D63">
        <v>325</v>
      </c>
      <c r="E63">
        <v>239</v>
      </c>
      <c r="F63">
        <v>86</v>
      </c>
      <c r="G63">
        <v>74.921630089999994</v>
      </c>
      <c r="H63" t="s">
        <v>237</v>
      </c>
      <c r="I63" t="s">
        <v>36</v>
      </c>
      <c r="J63">
        <v>3</v>
      </c>
      <c r="L63" t="s">
        <v>37</v>
      </c>
      <c r="O63">
        <v>35</v>
      </c>
      <c r="P63" t="s">
        <v>32</v>
      </c>
      <c r="Q63" t="s">
        <v>32</v>
      </c>
      <c r="R63" t="s">
        <v>32</v>
      </c>
      <c r="S63" t="s">
        <v>32</v>
      </c>
      <c r="T63" t="s">
        <v>32</v>
      </c>
      <c r="U63" t="s">
        <v>32</v>
      </c>
      <c r="V63" t="s">
        <v>32</v>
      </c>
      <c r="W63" t="s">
        <v>32</v>
      </c>
      <c r="X63" t="s">
        <v>32</v>
      </c>
      <c r="Y63" t="s">
        <v>32</v>
      </c>
      <c r="Z63" t="s">
        <v>32</v>
      </c>
      <c r="AA63" t="s">
        <v>32</v>
      </c>
    </row>
    <row r="64" spans="1:27" x14ac:dyDescent="0.35">
      <c r="A64" t="s">
        <v>238</v>
      </c>
      <c r="B64" t="s">
        <v>239</v>
      </c>
      <c r="C64">
        <v>6</v>
      </c>
      <c r="D64">
        <v>35</v>
      </c>
      <c r="E64">
        <v>16</v>
      </c>
      <c r="F64">
        <v>19</v>
      </c>
      <c r="G64">
        <v>47.058823529999998</v>
      </c>
      <c r="H64" t="s">
        <v>237</v>
      </c>
      <c r="I64" t="s">
        <v>36</v>
      </c>
      <c r="J64">
        <v>0.5</v>
      </c>
      <c r="L64" t="s">
        <v>37</v>
      </c>
      <c r="O64">
        <v>25</v>
      </c>
      <c r="P64" t="s">
        <v>32</v>
      </c>
      <c r="V64" t="s">
        <v>32</v>
      </c>
    </row>
    <row r="65" spans="1:27" x14ac:dyDescent="0.35">
      <c r="A65" t="s">
        <v>243</v>
      </c>
      <c r="B65" t="s">
        <v>244</v>
      </c>
      <c r="C65">
        <v>6</v>
      </c>
      <c r="D65">
        <v>30</v>
      </c>
      <c r="E65">
        <v>32</v>
      </c>
      <c r="F65">
        <v>-2</v>
      </c>
      <c r="G65">
        <v>106.66666669999999</v>
      </c>
      <c r="H65" t="s">
        <v>237</v>
      </c>
      <c r="I65" t="s">
        <v>36</v>
      </c>
      <c r="J65">
        <v>0.5</v>
      </c>
      <c r="L65" t="s">
        <v>37</v>
      </c>
      <c r="M65" s="3" t="s">
        <v>245</v>
      </c>
      <c r="O65">
        <v>25</v>
      </c>
      <c r="P65" t="s">
        <v>32</v>
      </c>
      <c r="S65" t="s">
        <v>32</v>
      </c>
      <c r="V65" t="s">
        <v>32</v>
      </c>
      <c r="Y65" t="s">
        <v>32</v>
      </c>
    </row>
    <row r="66" spans="1:27" x14ac:dyDescent="0.35">
      <c r="A66" t="s">
        <v>246</v>
      </c>
      <c r="B66" t="s">
        <v>247</v>
      </c>
      <c r="C66">
        <v>7</v>
      </c>
      <c r="D66">
        <v>29</v>
      </c>
      <c r="E66">
        <v>20</v>
      </c>
      <c r="F66">
        <v>9</v>
      </c>
      <c r="G66">
        <v>76.92307692</v>
      </c>
      <c r="H66" t="s">
        <v>237</v>
      </c>
      <c r="I66" t="s">
        <v>36</v>
      </c>
      <c r="J66">
        <v>0.5</v>
      </c>
      <c r="L66" t="s">
        <v>37</v>
      </c>
      <c r="O66">
        <v>25</v>
      </c>
      <c r="U66" t="s">
        <v>32</v>
      </c>
      <c r="AA66" t="s">
        <v>32</v>
      </c>
    </row>
    <row r="67" spans="1:27" x14ac:dyDescent="0.35">
      <c r="A67" t="s">
        <v>248</v>
      </c>
      <c r="B67" t="s">
        <v>249</v>
      </c>
      <c r="C67">
        <v>6</v>
      </c>
      <c r="D67">
        <v>17</v>
      </c>
      <c r="E67">
        <v>0</v>
      </c>
      <c r="F67">
        <v>17</v>
      </c>
      <c r="G67">
        <v>0</v>
      </c>
      <c r="H67" t="s">
        <v>237</v>
      </c>
      <c r="I67" t="s">
        <v>36</v>
      </c>
      <c r="J67">
        <v>0.5</v>
      </c>
      <c r="L67" t="s">
        <v>37</v>
      </c>
      <c r="O67">
        <v>25</v>
      </c>
      <c r="R67" t="s">
        <v>32</v>
      </c>
      <c r="X67" t="s">
        <v>32</v>
      </c>
    </row>
    <row r="68" spans="1:27" ht="29" x14ac:dyDescent="0.35">
      <c r="A68" t="s">
        <v>82</v>
      </c>
      <c r="B68" t="s">
        <v>83</v>
      </c>
      <c r="C68">
        <v>7</v>
      </c>
      <c r="D68">
        <v>79</v>
      </c>
      <c r="E68">
        <v>30</v>
      </c>
      <c r="F68">
        <v>49</v>
      </c>
      <c r="G68">
        <v>38.46153846</v>
      </c>
      <c r="H68" t="s">
        <v>84</v>
      </c>
      <c r="I68" t="s">
        <v>57</v>
      </c>
      <c r="J68">
        <v>1</v>
      </c>
      <c r="L68" t="s">
        <v>47</v>
      </c>
      <c r="M68" s="3" t="s">
        <v>85</v>
      </c>
      <c r="N68" t="s">
        <v>68</v>
      </c>
      <c r="O68">
        <v>12</v>
      </c>
      <c r="P68" t="s">
        <v>32</v>
      </c>
      <c r="R68" t="s">
        <v>32</v>
      </c>
      <c r="S68" t="s">
        <v>32</v>
      </c>
      <c r="U68" t="s">
        <v>32</v>
      </c>
      <c r="V68" t="s">
        <v>32</v>
      </c>
      <c r="X68" t="s">
        <v>32</v>
      </c>
      <c r="Y68" t="s">
        <v>32</v>
      </c>
      <c r="AA68" t="s">
        <v>32</v>
      </c>
    </row>
    <row r="69" spans="1:27" x14ac:dyDescent="0.35">
      <c r="A69" t="s">
        <v>170</v>
      </c>
      <c r="B69" t="s">
        <v>171</v>
      </c>
      <c r="C69">
        <v>7</v>
      </c>
      <c r="D69">
        <v>29</v>
      </c>
      <c r="E69">
        <v>3</v>
      </c>
      <c r="F69">
        <v>26</v>
      </c>
      <c r="G69">
        <v>10.34482759</v>
      </c>
      <c r="H69" t="s">
        <v>84</v>
      </c>
      <c r="I69" t="s">
        <v>149</v>
      </c>
      <c r="J69">
        <v>0.5</v>
      </c>
      <c r="L69" t="s">
        <v>37</v>
      </c>
      <c r="O69">
        <v>12</v>
      </c>
      <c r="R69" t="s">
        <v>32</v>
      </c>
      <c r="U69" t="s">
        <v>32</v>
      </c>
      <c r="X69" t="s">
        <v>32</v>
      </c>
      <c r="AA69" t="s">
        <v>32</v>
      </c>
    </row>
    <row r="70" spans="1:27" x14ac:dyDescent="0.35">
      <c r="A70" t="s">
        <v>208</v>
      </c>
      <c r="B70" t="s">
        <v>209</v>
      </c>
      <c r="C70">
        <v>6</v>
      </c>
      <c r="D70">
        <v>18</v>
      </c>
      <c r="E70">
        <v>0</v>
      </c>
      <c r="F70">
        <v>18</v>
      </c>
      <c r="G70">
        <v>0</v>
      </c>
      <c r="H70" t="s">
        <v>84</v>
      </c>
      <c r="I70" t="s">
        <v>30</v>
      </c>
    </row>
    <row r="71" spans="1:27" x14ac:dyDescent="0.35">
      <c r="A71" t="s">
        <v>225</v>
      </c>
      <c r="B71" t="s">
        <v>226</v>
      </c>
      <c r="C71">
        <v>6</v>
      </c>
      <c r="D71">
        <v>11</v>
      </c>
      <c r="E71">
        <v>0</v>
      </c>
      <c r="F71">
        <v>11</v>
      </c>
      <c r="G71">
        <v>0</v>
      </c>
      <c r="H71" t="s">
        <v>84</v>
      </c>
      <c r="I71" t="s">
        <v>30</v>
      </c>
    </row>
    <row r="72" spans="1:27" x14ac:dyDescent="0.35">
      <c r="A72" t="s">
        <v>102</v>
      </c>
      <c r="B72" t="s">
        <v>103</v>
      </c>
      <c r="C72">
        <v>7</v>
      </c>
      <c r="D72">
        <v>63</v>
      </c>
      <c r="E72">
        <v>51</v>
      </c>
      <c r="F72">
        <v>12</v>
      </c>
      <c r="G72">
        <v>80.952380950000006</v>
      </c>
      <c r="H72" t="s">
        <v>104</v>
      </c>
      <c r="I72" t="s">
        <v>43</v>
      </c>
      <c r="J72">
        <v>1</v>
      </c>
      <c r="M72" s="3" t="s">
        <v>44</v>
      </c>
      <c r="O72">
        <v>30</v>
      </c>
      <c r="P72" t="s">
        <v>32</v>
      </c>
      <c r="R72" t="s">
        <v>32</v>
      </c>
      <c r="U72" t="s">
        <v>32</v>
      </c>
      <c r="X72" t="s">
        <v>32</v>
      </c>
      <c r="AA72" t="s">
        <v>32</v>
      </c>
    </row>
    <row r="73" spans="1:27" x14ac:dyDescent="0.35">
      <c r="A73" t="s">
        <v>113</v>
      </c>
      <c r="B73" t="s">
        <v>114</v>
      </c>
      <c r="C73">
        <v>7</v>
      </c>
      <c r="D73">
        <v>55</v>
      </c>
      <c r="E73">
        <v>53</v>
      </c>
      <c r="F73">
        <v>2</v>
      </c>
      <c r="G73">
        <v>96.363636360000001</v>
      </c>
      <c r="H73" t="s">
        <v>104</v>
      </c>
      <c r="I73" t="s">
        <v>43</v>
      </c>
      <c r="J73">
        <v>1</v>
      </c>
      <c r="M73" s="3" t="s">
        <v>44</v>
      </c>
      <c r="O73">
        <v>30</v>
      </c>
      <c r="P73" t="s">
        <v>32</v>
      </c>
      <c r="S73" t="s">
        <v>32</v>
      </c>
      <c r="V73" t="s">
        <v>32</v>
      </c>
      <c r="Y73" t="s">
        <v>32</v>
      </c>
    </row>
    <row r="74" spans="1:27" x14ac:dyDescent="0.35">
      <c r="A74" t="s">
        <v>154</v>
      </c>
      <c r="B74" t="s">
        <v>155</v>
      </c>
      <c r="C74">
        <v>6</v>
      </c>
      <c r="D74">
        <v>34</v>
      </c>
      <c r="E74">
        <v>15</v>
      </c>
      <c r="F74">
        <v>19</v>
      </c>
      <c r="G74">
        <v>44.117647060000003</v>
      </c>
      <c r="H74" t="s">
        <v>104</v>
      </c>
      <c r="I74" t="s">
        <v>43</v>
      </c>
      <c r="J74">
        <v>0.5</v>
      </c>
      <c r="O74">
        <v>30</v>
      </c>
      <c r="T74" t="s">
        <v>32</v>
      </c>
      <c r="Z74" t="s">
        <v>32</v>
      </c>
    </row>
    <row r="75" spans="1:27" x14ac:dyDescent="0.35">
      <c r="A75" t="s">
        <v>156</v>
      </c>
      <c r="B75" t="s">
        <v>157</v>
      </c>
      <c r="C75">
        <v>6</v>
      </c>
      <c r="D75">
        <v>31</v>
      </c>
      <c r="E75">
        <v>16</v>
      </c>
      <c r="F75">
        <v>15</v>
      </c>
      <c r="G75">
        <v>51.612903230000001</v>
      </c>
      <c r="H75" t="s">
        <v>104</v>
      </c>
      <c r="I75" t="s">
        <v>43</v>
      </c>
      <c r="J75">
        <v>0.5</v>
      </c>
      <c r="M75" s="3" t="s">
        <v>158</v>
      </c>
      <c r="O75">
        <v>30</v>
      </c>
      <c r="R75" t="s">
        <v>32</v>
      </c>
      <c r="X75" t="s">
        <v>32</v>
      </c>
    </row>
    <row r="76" spans="1:27" x14ac:dyDescent="0.35">
      <c r="A76" t="s">
        <v>159</v>
      </c>
      <c r="B76" t="s">
        <v>160</v>
      </c>
      <c r="C76">
        <v>6</v>
      </c>
      <c r="D76">
        <v>31</v>
      </c>
      <c r="E76">
        <v>31</v>
      </c>
      <c r="F76">
        <v>0</v>
      </c>
      <c r="G76">
        <v>100</v>
      </c>
      <c r="H76" t="s">
        <v>104</v>
      </c>
      <c r="I76" t="s">
        <v>43</v>
      </c>
      <c r="J76">
        <v>0.5</v>
      </c>
      <c r="O76">
        <v>30</v>
      </c>
      <c r="U76" t="s">
        <v>32</v>
      </c>
      <c r="AA76" t="s">
        <v>32</v>
      </c>
    </row>
    <row r="77" spans="1:27" x14ac:dyDescent="0.35">
      <c r="A77" t="s">
        <v>182</v>
      </c>
      <c r="B77" t="s">
        <v>183</v>
      </c>
      <c r="C77">
        <v>6</v>
      </c>
      <c r="D77">
        <v>26</v>
      </c>
      <c r="E77">
        <v>9</v>
      </c>
      <c r="F77">
        <v>17</v>
      </c>
      <c r="G77">
        <v>34.61538462</v>
      </c>
      <c r="H77" t="s">
        <v>104</v>
      </c>
      <c r="I77" t="s">
        <v>43</v>
      </c>
      <c r="J77">
        <v>0.5</v>
      </c>
      <c r="M77" s="3" t="s">
        <v>158</v>
      </c>
      <c r="O77">
        <v>30</v>
      </c>
      <c r="Q77" t="s">
        <v>32</v>
      </c>
      <c r="V77" t="s">
        <v>32</v>
      </c>
    </row>
    <row r="78" spans="1:27" x14ac:dyDescent="0.35">
      <c r="A78" t="s">
        <v>40</v>
      </c>
      <c r="B78" t="s">
        <v>41</v>
      </c>
      <c r="C78">
        <v>7</v>
      </c>
      <c r="D78">
        <v>143</v>
      </c>
      <c r="E78">
        <v>88</v>
      </c>
      <c r="F78">
        <v>55</v>
      </c>
      <c r="G78">
        <v>61.111111110000003</v>
      </c>
      <c r="H78" t="s">
        <v>42</v>
      </c>
      <c r="I78" t="s">
        <v>43</v>
      </c>
      <c r="J78">
        <v>1</v>
      </c>
      <c r="L78" t="s">
        <v>37</v>
      </c>
      <c r="M78" s="3" t="s">
        <v>44</v>
      </c>
      <c r="O78">
        <v>25</v>
      </c>
      <c r="R78" t="s">
        <v>32</v>
      </c>
      <c r="U78" t="s">
        <v>32</v>
      </c>
      <c r="X78" t="s">
        <v>32</v>
      </c>
      <c r="AA78" t="s">
        <v>32</v>
      </c>
    </row>
    <row r="79" spans="1:27" x14ac:dyDescent="0.35">
      <c r="A79" t="s">
        <v>163</v>
      </c>
      <c r="B79" t="s">
        <v>164</v>
      </c>
      <c r="C79">
        <v>6</v>
      </c>
      <c r="D79">
        <v>31</v>
      </c>
      <c r="E79">
        <v>17</v>
      </c>
      <c r="F79">
        <v>14</v>
      </c>
      <c r="G79">
        <v>56.666666669999998</v>
      </c>
      <c r="H79" t="s">
        <v>42</v>
      </c>
      <c r="I79" t="s">
        <v>57</v>
      </c>
      <c r="J79">
        <v>0.5</v>
      </c>
      <c r="L79" t="s">
        <v>47</v>
      </c>
      <c r="M79" s="3" t="s">
        <v>165</v>
      </c>
      <c r="N79" t="s">
        <v>98</v>
      </c>
      <c r="O79">
        <v>25</v>
      </c>
      <c r="P79" t="s">
        <v>32</v>
      </c>
      <c r="V79" t="s">
        <v>32</v>
      </c>
    </row>
    <row r="80" spans="1:27" x14ac:dyDescent="0.35">
      <c r="A80" t="s">
        <v>172</v>
      </c>
      <c r="B80" t="s">
        <v>173</v>
      </c>
      <c r="C80">
        <v>6</v>
      </c>
      <c r="D80">
        <v>29</v>
      </c>
      <c r="E80">
        <v>16</v>
      </c>
      <c r="F80">
        <v>13</v>
      </c>
      <c r="G80">
        <v>55.17241379</v>
      </c>
      <c r="H80" t="s">
        <v>42</v>
      </c>
      <c r="I80" t="s">
        <v>57</v>
      </c>
      <c r="J80">
        <v>0.5</v>
      </c>
      <c r="L80" t="s">
        <v>47</v>
      </c>
      <c r="M80" s="3" t="s">
        <v>165</v>
      </c>
      <c r="N80" t="s">
        <v>98</v>
      </c>
      <c r="O80">
        <v>30</v>
      </c>
      <c r="P80" t="s">
        <v>32</v>
      </c>
      <c r="V80" t="s">
        <v>32</v>
      </c>
    </row>
    <row r="81" spans="1:27" x14ac:dyDescent="0.35">
      <c r="A81" t="s">
        <v>219</v>
      </c>
      <c r="B81" t="s">
        <v>220</v>
      </c>
      <c r="C81">
        <v>6</v>
      </c>
      <c r="D81">
        <v>15</v>
      </c>
      <c r="E81">
        <v>0</v>
      </c>
      <c r="F81">
        <v>15</v>
      </c>
      <c r="G81">
        <v>0</v>
      </c>
      <c r="H81" t="s">
        <v>42</v>
      </c>
      <c r="I81" t="s">
        <v>57</v>
      </c>
      <c r="J81">
        <v>0.5</v>
      </c>
      <c r="L81" t="s">
        <v>47</v>
      </c>
      <c r="M81" s="3" t="s">
        <v>165</v>
      </c>
      <c r="N81" t="s">
        <v>98</v>
      </c>
      <c r="O81">
        <v>20</v>
      </c>
      <c r="R81" t="s">
        <v>32</v>
      </c>
      <c r="X81" t="s">
        <v>32</v>
      </c>
    </row>
    <row r="82" spans="1:27" x14ac:dyDescent="0.35">
      <c r="A82" t="s">
        <v>221</v>
      </c>
      <c r="B82" t="s">
        <v>222</v>
      </c>
      <c r="C82">
        <v>6</v>
      </c>
      <c r="D82">
        <v>14</v>
      </c>
      <c r="E82">
        <v>0</v>
      </c>
      <c r="F82">
        <v>14</v>
      </c>
      <c r="G82">
        <v>0</v>
      </c>
      <c r="H82" t="s">
        <v>42</v>
      </c>
      <c r="I82" t="s">
        <v>43</v>
      </c>
      <c r="J82">
        <v>0</v>
      </c>
      <c r="S82" t="s">
        <v>32</v>
      </c>
      <c r="Y82" t="s">
        <v>32</v>
      </c>
    </row>
    <row r="83" spans="1:27" x14ac:dyDescent="0.35">
      <c r="A83" t="s">
        <v>231</v>
      </c>
      <c r="B83" t="s">
        <v>232</v>
      </c>
      <c r="C83">
        <v>6</v>
      </c>
      <c r="D83">
        <v>10</v>
      </c>
      <c r="E83">
        <v>0</v>
      </c>
      <c r="F83">
        <v>10</v>
      </c>
      <c r="G83">
        <v>0</v>
      </c>
      <c r="H83" t="s">
        <v>42</v>
      </c>
      <c r="J83">
        <v>0</v>
      </c>
      <c r="S83" t="s">
        <v>32</v>
      </c>
      <c r="Y83" t="s">
        <v>32</v>
      </c>
    </row>
    <row r="84" spans="1:27" x14ac:dyDescent="0.35">
      <c r="A84" t="s">
        <v>233</v>
      </c>
      <c r="B84" t="s">
        <v>234</v>
      </c>
      <c r="C84">
        <v>6</v>
      </c>
      <c r="D84">
        <v>8</v>
      </c>
      <c r="E84">
        <v>0</v>
      </c>
      <c r="F84">
        <v>8</v>
      </c>
      <c r="G84">
        <v>0</v>
      </c>
      <c r="H84" t="s">
        <v>42</v>
      </c>
      <c r="J84">
        <v>0</v>
      </c>
      <c r="S84" t="s">
        <v>32</v>
      </c>
      <c r="Y84" t="s">
        <v>32</v>
      </c>
    </row>
    <row r="85" spans="1:27" x14ac:dyDescent="0.35">
      <c r="P85">
        <f t="shared" ref="P85:AA85" si="0">COUNTIF(P2:P84,"X")</f>
        <v>26</v>
      </c>
      <c r="Q85">
        <f t="shared" si="0"/>
        <v>15</v>
      </c>
      <c r="R85">
        <f t="shared" si="0"/>
        <v>28</v>
      </c>
      <c r="S85">
        <f t="shared" si="0"/>
        <v>28</v>
      </c>
      <c r="T85">
        <f t="shared" si="0"/>
        <v>8</v>
      </c>
      <c r="U85">
        <f t="shared" si="0"/>
        <v>24</v>
      </c>
      <c r="V85">
        <f t="shared" si="0"/>
        <v>27</v>
      </c>
      <c r="W85">
        <f t="shared" si="0"/>
        <v>9</v>
      </c>
      <c r="X85">
        <f t="shared" si="0"/>
        <v>30</v>
      </c>
      <c r="Y85">
        <f t="shared" si="0"/>
        <v>28</v>
      </c>
      <c r="Z85">
        <f t="shared" si="0"/>
        <v>8</v>
      </c>
      <c r="AA85">
        <f t="shared" si="0"/>
        <v>24</v>
      </c>
    </row>
  </sheetData>
  <autoFilter ref="A1:AA85" xr:uid="{00000000-0001-0000-0000-000000000000}">
    <sortState xmlns:xlrd2="http://schemas.microsoft.com/office/spreadsheetml/2017/richdata2" ref="A2:AA85">
      <sortCondition ref="H1:H85"/>
    </sortState>
  </autoFilter>
  <conditionalFormatting sqref="P2:AA84">
    <cfRule type="cellIs" dxfId="0" priority="3" operator="equal">
      <formula>"X"</formula>
    </cfRule>
  </conditionalFormatting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20dacbb-42f0-4102-8766-afa36f399016" xsi:nil="true"/>
    <lcf76f155ced4ddcb4097134ff3c332f xmlns="479396de-7aa0-4d05-b479-200d7d9b740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46788ECA2CB6D4CABE5D7502D755DCA" ma:contentTypeVersion="12" ma:contentTypeDescription="Crear nuevo documento." ma:contentTypeScope="" ma:versionID="b557a76437666cee21a6f69402bf685b">
  <xsd:schema xmlns:xsd="http://www.w3.org/2001/XMLSchema" xmlns:xs="http://www.w3.org/2001/XMLSchema" xmlns:p="http://schemas.microsoft.com/office/2006/metadata/properties" xmlns:ns2="479396de-7aa0-4d05-b479-200d7d9b7401" xmlns:ns3="b20dacbb-42f0-4102-8766-afa36f399016" targetNamespace="http://schemas.microsoft.com/office/2006/metadata/properties" ma:root="true" ma:fieldsID="5d57372443af83b9b55e9c442ea9b760" ns2:_="" ns3:_="">
    <xsd:import namespace="479396de-7aa0-4d05-b479-200d7d9b7401"/>
    <xsd:import namespace="b20dacbb-42f0-4102-8766-afa36f3990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9396de-7aa0-4d05-b479-200d7d9b74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3212059e-99c6-4e7d-8081-b4731dd1de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0dacbb-42f0-4102-8766-afa36f39901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f143c81-cbe7-4674-8cdd-970ecf547083}" ma:internalName="TaxCatchAll" ma:showField="CatchAllData" ma:web="b20dacbb-42f0-4102-8766-afa36f3990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211F9D-8E6C-4C4A-9609-0BFEA02706C2}">
  <ds:schemaRefs>
    <ds:schemaRef ds:uri="http://schemas.microsoft.com/office/2006/metadata/properties"/>
    <ds:schemaRef ds:uri="http://schemas.microsoft.com/office/infopath/2007/PartnerControls"/>
    <ds:schemaRef ds:uri="b20dacbb-42f0-4102-8766-afa36f399016"/>
    <ds:schemaRef ds:uri="479396de-7aa0-4d05-b479-200d7d9b7401"/>
  </ds:schemaRefs>
</ds:datastoreItem>
</file>

<file path=customXml/itemProps2.xml><?xml version="1.0" encoding="utf-8"?>
<ds:datastoreItem xmlns:ds="http://schemas.openxmlformats.org/officeDocument/2006/customXml" ds:itemID="{0C93DBCD-9347-4844-9B25-FDDBE47EDF7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10B5ED4-CD15-4957-8C89-0E007DD9DB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9396de-7aa0-4d05-b479-200d7d9b7401"/>
    <ds:schemaRef ds:uri="b20dacbb-42f0-4102-8766-afa36f3990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José de Jesús Ramos Beltrán</cp:lastModifiedBy>
  <cp:revision/>
  <dcterms:created xsi:type="dcterms:W3CDTF">2026-05-28T19:44:17Z</dcterms:created>
  <dcterms:modified xsi:type="dcterms:W3CDTF">2026-10-29T16:10:50Z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0x010100746788ECA2CB6D4CABE5D7502D755DCA</vt:lpwstr>
  </property>
  <property fmtid="{D5CDD505-2E9C-101B-9397-08002B2CF9AE}" pid="3" name="MediaServiceImageTags">
    <vt:lpwstr/>
  </property>
</Properties>
</file>